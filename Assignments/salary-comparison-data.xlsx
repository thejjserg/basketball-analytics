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hejjserg/Documents/GitHub/basketball-analytics/Assignments/"/>
    </mc:Choice>
  </mc:AlternateContent>
  <xr:revisionPtr revIDLastSave="0" documentId="13_ncr:1_{6F8EA53B-EAD9-DC45-B4EF-1751B477D805}" xr6:coauthVersionLast="47" xr6:coauthVersionMax="47" xr10:uidLastSave="{00000000-0000-0000-0000-000000000000}"/>
  <bookViews>
    <workbookView xWindow="0" yWindow="680" windowWidth="30240" windowHeight="17560" xr2:uid="{887C40B1-A329-E54C-B903-0CF34CC7FD1D}"/>
  </bookViews>
  <sheets>
    <sheet name="Player Data" sheetId="1" r:id="rId1"/>
    <sheet name="Salary Definitions" sheetId="2" r:id="rId2"/>
    <sheet name="Salary Cap" sheetId="3" r:id="rId3"/>
    <sheet name="Helpful Information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1" l="1"/>
  <c r="K6" i="1"/>
  <c r="K3" i="1"/>
  <c r="K2" i="1"/>
  <c r="K5" i="1"/>
  <c r="K4" i="1"/>
</calcChain>
</file>

<file path=xl/sharedStrings.xml><?xml version="1.0" encoding="utf-8"?>
<sst xmlns="http://schemas.openxmlformats.org/spreadsheetml/2006/main" count="160" uniqueCount="122">
  <si>
    <t>Player</t>
  </si>
  <si>
    <t>Season</t>
  </si>
  <si>
    <t>Salary</t>
  </si>
  <si>
    <t>GP</t>
  </si>
  <si>
    <t>MPG</t>
  </si>
  <si>
    <t>BPM per $1M</t>
  </si>
  <si>
    <t>BPM</t>
  </si>
  <si>
    <t>USG%</t>
  </si>
  <si>
    <t>Team</t>
  </si>
  <si>
    <t>Position</t>
  </si>
  <si>
    <t>Age</t>
  </si>
  <si>
    <t>Salary Tier</t>
  </si>
  <si>
    <t>Salary % of Cap</t>
  </si>
  <si>
    <t>PPG</t>
  </si>
  <si>
    <t>RPG</t>
  </si>
  <si>
    <t>APG</t>
  </si>
  <si>
    <t>PPG per 100</t>
  </si>
  <si>
    <t>TS%</t>
  </si>
  <si>
    <t>3P%</t>
  </si>
  <si>
    <t>3PAr</t>
  </si>
  <si>
    <t>FTR</t>
  </si>
  <si>
    <t>TOV%</t>
  </si>
  <si>
    <t>AST%</t>
  </si>
  <si>
    <t>ORB%</t>
  </si>
  <si>
    <t>DRB%</t>
  </si>
  <si>
    <t>TRB%</t>
  </si>
  <si>
    <t>STL%</t>
  </si>
  <si>
    <t>BLK%</t>
  </si>
  <si>
    <t>OWS</t>
  </si>
  <si>
    <t>DWS</t>
  </si>
  <si>
    <t>WS</t>
  </si>
  <si>
    <t>VORP</t>
  </si>
  <si>
    <t>Win Shares per $1M</t>
  </si>
  <si>
    <t>VORP per $1M</t>
  </si>
  <si>
    <t>Cade Cunningham</t>
  </si>
  <si>
    <t>2025-26</t>
  </si>
  <si>
    <t>Detroit Pistons</t>
  </si>
  <si>
    <t>PG</t>
  </si>
  <si>
    <t>Salary Upper</t>
  </si>
  <si>
    <t>Salary Lower</t>
  </si>
  <si>
    <t>Role</t>
  </si>
  <si>
    <t>Minimum</t>
  </si>
  <si>
    <t>Low-Cost Rotation</t>
  </si>
  <si>
    <t>Mid-Level Value</t>
  </si>
  <si>
    <t>Starter / Core</t>
  </si>
  <si>
    <t>Near Max</t>
  </si>
  <si>
    <t>Max Contract</t>
  </si>
  <si>
    <t>End-of-Rotation / Developmental</t>
  </si>
  <si>
    <t>Bench / Role Player</t>
  </si>
  <si>
    <t>High-End Role / Starter</t>
  </si>
  <si>
    <t>Solid Starter</t>
  </si>
  <si>
    <t>Fringe All-Star</t>
  </si>
  <si>
    <t>Franchise Player</t>
  </si>
  <si>
    <t>Value per $1M Salary (WS)</t>
  </si>
  <si>
    <t>Shai Gilgeous-Alexander</t>
  </si>
  <si>
    <t>2024-25</t>
  </si>
  <si>
    <t>Oklahoma City Thunder</t>
  </si>
  <si>
    <t>Year</t>
  </si>
  <si>
    <t>Salary Cap</t>
  </si>
  <si>
    <t>1984-85</t>
  </si>
  <si>
    <t>1985-86</t>
  </si>
  <si>
    <t>1986-87</t>
  </si>
  <si>
    <t>1987-88</t>
  </si>
  <si>
    <t>1988-89</t>
  </si>
  <si>
    <t>1989-90</t>
  </si>
  <si>
    <t>1990-91</t>
  </si>
  <si>
    <t>1991-92</t>
  </si>
  <si>
    <t>1992-93</t>
  </si>
  <si>
    <t>1993-94</t>
  </si>
  <si>
    <t>1994-95</t>
  </si>
  <si>
    <t>1995-96</t>
  </si>
  <si>
    <t>1996-97</t>
  </si>
  <si>
    <t>1997-98</t>
  </si>
  <si>
    <t>1998-99</t>
  </si>
  <si>
    <t>1999-00</t>
  </si>
  <si>
    <t>2000-01</t>
  </si>
  <si>
    <t>2001-02</t>
  </si>
  <si>
    <t>2002-03</t>
  </si>
  <si>
    <t>2003-04</t>
  </si>
  <si>
    <t>2004-05</t>
  </si>
  <si>
    <t>2005-06</t>
  </si>
  <si>
    <t>2006-07</t>
  </si>
  <si>
    <t>2007-08</t>
  </si>
  <si>
    <t>2008-09</t>
  </si>
  <si>
    <t>2009-10</t>
  </si>
  <si>
    <t>2010-11</t>
  </si>
  <si>
    <t>2011-12</t>
  </si>
  <si>
    <t>2012-13</t>
  </si>
  <si>
    <t>2013-14</t>
  </si>
  <si>
    <t>2014-15</t>
  </si>
  <si>
    <t>2015-16</t>
  </si>
  <si>
    <t>2016-17</t>
  </si>
  <si>
    <t>2017-18</t>
  </si>
  <si>
    <t>2018-19</t>
  </si>
  <si>
    <t>2019-20</t>
  </si>
  <si>
    <t>2020-21</t>
  </si>
  <si>
    <t>2021-22</t>
  </si>
  <si>
    <t>2022-23</t>
  </si>
  <si>
    <t>2023-24</t>
  </si>
  <si>
    <t>Sheet</t>
  </si>
  <si>
    <t>URL</t>
  </si>
  <si>
    <t>https://www.basketball-reference.com/contracts/salary-cap-history.html</t>
  </si>
  <si>
    <t>https://www.basketball-reference.com/players/c/cunnica01.html</t>
  </si>
  <si>
    <t>https://www.basketball-reference.com/players/g/gilgesh01.html</t>
  </si>
  <si>
    <t>Stephen Curry</t>
  </si>
  <si>
    <t>Golden State Warriors</t>
  </si>
  <si>
    <t>https://www.basketball-reference.com/players/c/curryst01.html</t>
  </si>
  <si>
    <t>Jalen Duren</t>
  </si>
  <si>
    <t>C</t>
  </si>
  <si>
    <t>Jaden Ivey</t>
  </si>
  <si>
    <t>SG</t>
  </si>
  <si>
    <t>Play Level Tier</t>
  </si>
  <si>
    <t>Jarrett Allen</t>
  </si>
  <si>
    <t>Cleveland Cavaliers</t>
  </si>
  <si>
    <t>Clint Capela</t>
  </si>
  <si>
    <t>Houston Rockets</t>
  </si>
  <si>
    <t>Walker Kessler</t>
  </si>
  <si>
    <t>Utah Jazz</t>
  </si>
  <si>
    <t>Collin Sexton</t>
  </si>
  <si>
    <t>Jordan Poole</t>
  </si>
  <si>
    <t>De'Aaron Fox</t>
  </si>
  <si>
    <t>Sacramento Kings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</si>
</sst>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44" formatCode="_(&quot;$&quot;* #,##0.00_);_(&quot;$&quot;* \(#,##0.00\);_(&quot;$&quot;* &quot;-&quot;??_);_(@_)"/>
    <numFmt numFmtId="168" formatCode="0.0%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9.4"/>
      <color rgb="FF000000"/>
      <name val="Verdana"/>
      <family val="2"/>
    </font>
    <font>
      <u/>
      <sz val="12"/>
      <color theme="10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3" fillId="0" borderId="0" xfId="3"/>
    <xf numFmtId="6" fontId="2" fillId="0" borderId="0" xfId="0" applyNumberFormat="1" applyFont="1"/>
    <xf numFmtId="0" fontId="4" fillId="0" borderId="0" xfId="0" applyFont="1"/>
    <xf numFmtId="44" fontId="4" fillId="0" borderId="0" xfId="1" applyFont="1"/>
    <xf numFmtId="10" fontId="4" fillId="0" borderId="0" xfId="2" applyNumberFormat="1" applyFont="1"/>
    <xf numFmtId="168" fontId="4" fillId="0" borderId="0" xfId="2" applyNumberFormat="1" applyFont="1"/>
    <xf numFmtId="0" fontId="4" fillId="0" borderId="0" xfId="2" applyNumberFormat="1" applyFont="1"/>
    <xf numFmtId="44" fontId="5" fillId="0" borderId="0" xfId="1" applyFont="1"/>
  </cellXfs>
  <cellStyles count="4">
    <cellStyle name="Currency" xfId="1" builtinId="4"/>
    <cellStyle name="Hyperlink" xfId="3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basketball-reference.com/leagues/NBA_1997.html" TargetMode="External"/><Relationship Id="rId18" Type="http://schemas.openxmlformats.org/officeDocument/2006/relationships/hyperlink" Target="https://www.basketball-reference.com/leagues/NBA_2002.html" TargetMode="External"/><Relationship Id="rId26" Type="http://schemas.openxmlformats.org/officeDocument/2006/relationships/hyperlink" Target="https://www.basketball-reference.com/leagues/NBA_2010.html" TargetMode="External"/><Relationship Id="rId39" Type="http://schemas.openxmlformats.org/officeDocument/2006/relationships/hyperlink" Target="https://www.basketball-reference.com/leagues/NBA_2023.html" TargetMode="External"/><Relationship Id="rId21" Type="http://schemas.openxmlformats.org/officeDocument/2006/relationships/hyperlink" Target="https://www.basketball-reference.com/leagues/NBA_2005.html" TargetMode="External"/><Relationship Id="rId34" Type="http://schemas.openxmlformats.org/officeDocument/2006/relationships/hyperlink" Target="https://www.basketball-reference.com/leagues/NBA_2018.html" TargetMode="External"/><Relationship Id="rId42" Type="http://schemas.openxmlformats.org/officeDocument/2006/relationships/hyperlink" Target="https://www.basketball-reference.com/leagues/NBA_2026.html" TargetMode="External"/><Relationship Id="rId7" Type="http://schemas.openxmlformats.org/officeDocument/2006/relationships/hyperlink" Target="https://www.basketball-reference.com/leagues/NBA_1991.html" TargetMode="External"/><Relationship Id="rId2" Type="http://schemas.openxmlformats.org/officeDocument/2006/relationships/hyperlink" Target="https://www.basketball-reference.com/leagues/NBA_1986.html" TargetMode="External"/><Relationship Id="rId16" Type="http://schemas.openxmlformats.org/officeDocument/2006/relationships/hyperlink" Target="https://www.basketball-reference.com/leagues/NBA_2000.html" TargetMode="External"/><Relationship Id="rId20" Type="http://schemas.openxmlformats.org/officeDocument/2006/relationships/hyperlink" Target="https://www.basketball-reference.com/leagues/NBA_2004.html" TargetMode="External"/><Relationship Id="rId29" Type="http://schemas.openxmlformats.org/officeDocument/2006/relationships/hyperlink" Target="https://www.basketball-reference.com/leagues/NBA_2013.html" TargetMode="External"/><Relationship Id="rId41" Type="http://schemas.openxmlformats.org/officeDocument/2006/relationships/hyperlink" Target="https://www.basketball-reference.com/leagues/NBA_2025.html" TargetMode="External"/><Relationship Id="rId1" Type="http://schemas.openxmlformats.org/officeDocument/2006/relationships/hyperlink" Target="https://www.basketball-reference.com/leagues/NBA_1985.html" TargetMode="External"/><Relationship Id="rId6" Type="http://schemas.openxmlformats.org/officeDocument/2006/relationships/hyperlink" Target="https://www.basketball-reference.com/leagues/NBA_1990.html" TargetMode="External"/><Relationship Id="rId11" Type="http://schemas.openxmlformats.org/officeDocument/2006/relationships/hyperlink" Target="https://www.basketball-reference.com/leagues/NBA_1995.html" TargetMode="External"/><Relationship Id="rId24" Type="http://schemas.openxmlformats.org/officeDocument/2006/relationships/hyperlink" Target="https://www.basketball-reference.com/leagues/NBA_2008.html" TargetMode="External"/><Relationship Id="rId32" Type="http://schemas.openxmlformats.org/officeDocument/2006/relationships/hyperlink" Target="https://www.basketball-reference.com/leagues/NBA_2016.html" TargetMode="External"/><Relationship Id="rId37" Type="http://schemas.openxmlformats.org/officeDocument/2006/relationships/hyperlink" Target="https://www.basketball-reference.com/leagues/NBA_2021.html" TargetMode="External"/><Relationship Id="rId40" Type="http://schemas.openxmlformats.org/officeDocument/2006/relationships/hyperlink" Target="https://www.basketball-reference.com/leagues/NBA_2024.html" TargetMode="External"/><Relationship Id="rId5" Type="http://schemas.openxmlformats.org/officeDocument/2006/relationships/hyperlink" Target="https://www.basketball-reference.com/leagues/NBA_1989.html" TargetMode="External"/><Relationship Id="rId15" Type="http://schemas.openxmlformats.org/officeDocument/2006/relationships/hyperlink" Target="https://www.basketball-reference.com/leagues/NBA_1999.html" TargetMode="External"/><Relationship Id="rId23" Type="http://schemas.openxmlformats.org/officeDocument/2006/relationships/hyperlink" Target="https://www.basketball-reference.com/leagues/NBA_2007.html" TargetMode="External"/><Relationship Id="rId28" Type="http://schemas.openxmlformats.org/officeDocument/2006/relationships/hyperlink" Target="https://www.basketball-reference.com/leagues/NBA_2012.html" TargetMode="External"/><Relationship Id="rId36" Type="http://schemas.openxmlformats.org/officeDocument/2006/relationships/hyperlink" Target="https://www.basketball-reference.com/leagues/NBA_2020.html" TargetMode="External"/><Relationship Id="rId10" Type="http://schemas.openxmlformats.org/officeDocument/2006/relationships/hyperlink" Target="https://www.basketball-reference.com/leagues/NBA_1994.html" TargetMode="External"/><Relationship Id="rId19" Type="http://schemas.openxmlformats.org/officeDocument/2006/relationships/hyperlink" Target="https://www.basketball-reference.com/leagues/NBA_2003.html" TargetMode="External"/><Relationship Id="rId31" Type="http://schemas.openxmlformats.org/officeDocument/2006/relationships/hyperlink" Target="https://www.basketball-reference.com/leagues/NBA_2015.html" TargetMode="External"/><Relationship Id="rId4" Type="http://schemas.openxmlformats.org/officeDocument/2006/relationships/hyperlink" Target="https://www.basketball-reference.com/leagues/NBA_1988.html" TargetMode="External"/><Relationship Id="rId9" Type="http://schemas.openxmlformats.org/officeDocument/2006/relationships/hyperlink" Target="https://www.basketball-reference.com/leagues/NBA_1993.html" TargetMode="External"/><Relationship Id="rId14" Type="http://schemas.openxmlformats.org/officeDocument/2006/relationships/hyperlink" Target="https://www.basketball-reference.com/leagues/NBA_1998.html" TargetMode="External"/><Relationship Id="rId22" Type="http://schemas.openxmlformats.org/officeDocument/2006/relationships/hyperlink" Target="https://www.basketball-reference.com/leagues/NBA_2006.html" TargetMode="External"/><Relationship Id="rId27" Type="http://schemas.openxmlformats.org/officeDocument/2006/relationships/hyperlink" Target="https://www.basketball-reference.com/leagues/NBA_2011.html" TargetMode="External"/><Relationship Id="rId30" Type="http://schemas.openxmlformats.org/officeDocument/2006/relationships/hyperlink" Target="https://www.basketball-reference.com/leagues/NBA_2014.html" TargetMode="External"/><Relationship Id="rId35" Type="http://schemas.openxmlformats.org/officeDocument/2006/relationships/hyperlink" Target="https://www.basketball-reference.com/leagues/NBA_2019.html" TargetMode="External"/><Relationship Id="rId8" Type="http://schemas.openxmlformats.org/officeDocument/2006/relationships/hyperlink" Target="https://www.basketball-reference.com/leagues/NBA_1992.html" TargetMode="External"/><Relationship Id="rId3" Type="http://schemas.openxmlformats.org/officeDocument/2006/relationships/hyperlink" Target="https://www.basketball-reference.com/leagues/NBA_1987.html" TargetMode="External"/><Relationship Id="rId12" Type="http://schemas.openxmlformats.org/officeDocument/2006/relationships/hyperlink" Target="https://www.basketball-reference.com/leagues/NBA_1996.html" TargetMode="External"/><Relationship Id="rId17" Type="http://schemas.openxmlformats.org/officeDocument/2006/relationships/hyperlink" Target="https://www.basketball-reference.com/leagues/NBA_2001.html" TargetMode="External"/><Relationship Id="rId25" Type="http://schemas.openxmlformats.org/officeDocument/2006/relationships/hyperlink" Target="https://www.basketball-reference.com/leagues/NBA_2009.html" TargetMode="External"/><Relationship Id="rId33" Type="http://schemas.openxmlformats.org/officeDocument/2006/relationships/hyperlink" Target="https://www.basketball-reference.com/leagues/NBA_2017.html" TargetMode="External"/><Relationship Id="rId38" Type="http://schemas.openxmlformats.org/officeDocument/2006/relationships/hyperlink" Target="https://www.basketball-reference.com/leagues/NBA_202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69A5B-02ED-534C-8B00-21D2B0C07B80}">
  <dimension ref="A1:AJ12"/>
  <sheetViews>
    <sheetView tabSelected="1" topLeftCell="D1" workbookViewId="0">
      <selection activeCell="AH8" sqref="AH8"/>
    </sheetView>
  </sheetViews>
  <sheetFormatPr baseColWidth="10" defaultRowHeight="16" x14ac:dyDescent="0.2"/>
  <cols>
    <col min="1" max="1" width="20.83203125" style="3" bestFit="1" customWidth="1"/>
    <col min="2" max="2" width="7.83203125" style="3" bestFit="1" customWidth="1"/>
    <col min="3" max="3" width="20" style="3" bestFit="1" customWidth="1"/>
    <col min="4" max="4" width="7.6640625" style="3" bestFit="1" customWidth="1"/>
    <col min="5" max="5" width="4" style="3" bestFit="1" customWidth="1"/>
    <col min="6" max="6" width="3.5" style="3" bestFit="1" customWidth="1"/>
    <col min="7" max="7" width="5.1640625" style="3" bestFit="1" customWidth="1"/>
    <col min="8" max="8" width="15" style="4" bestFit="1" customWidth="1"/>
    <col min="9" max="9" width="19.6640625" style="3" bestFit="1" customWidth="1"/>
    <col min="10" max="10" width="12.1640625" style="3" customWidth="1"/>
    <col min="11" max="11" width="13.5" style="5" bestFit="1" customWidth="1"/>
    <col min="12" max="12" width="22.5" style="3" bestFit="1" customWidth="1"/>
    <col min="13" max="13" width="5.1640625" style="3" bestFit="1" customWidth="1"/>
    <col min="14" max="14" width="4.6640625" style="3" bestFit="1" customWidth="1"/>
    <col min="15" max="15" width="4.5" style="3" bestFit="1" customWidth="1"/>
    <col min="16" max="16" width="10.83203125" style="3" bestFit="1" customWidth="1"/>
    <col min="17" max="23" width="6.1640625" style="6" bestFit="1" customWidth="1"/>
    <col min="24" max="25" width="6.33203125" style="6" bestFit="1" customWidth="1"/>
    <col min="26" max="26" width="6.1640625" style="6" bestFit="1" customWidth="1"/>
    <col min="27" max="27" width="5.33203125" style="6" bestFit="1" customWidth="1"/>
    <col min="28" max="28" width="5.6640625" style="6" bestFit="1" customWidth="1"/>
    <col min="29" max="32" width="5.1640625" style="7" bestFit="1" customWidth="1"/>
    <col min="33" max="33" width="5.6640625" style="7" bestFit="1" customWidth="1"/>
    <col min="34" max="34" width="17.1640625" style="3" bestFit="1" customWidth="1"/>
    <col min="35" max="35" width="12.5" style="3" bestFit="1" customWidth="1"/>
    <col min="36" max="36" width="11.6640625" style="3" bestFit="1" customWidth="1"/>
    <col min="37" max="16384" width="10.83203125" style="3"/>
  </cols>
  <sheetData>
    <row r="1" spans="1:36" x14ac:dyDescent="0.2">
      <c r="A1" s="3" t="s">
        <v>0</v>
      </c>
      <c r="B1" s="3" t="s">
        <v>1</v>
      </c>
      <c r="C1" s="3" t="s">
        <v>8</v>
      </c>
      <c r="D1" s="3" t="s">
        <v>9</v>
      </c>
      <c r="E1" s="3" t="s">
        <v>10</v>
      </c>
      <c r="F1" s="3" t="s">
        <v>3</v>
      </c>
      <c r="G1" s="3" t="s">
        <v>4</v>
      </c>
      <c r="H1" s="4" t="s">
        <v>2</v>
      </c>
      <c r="I1" s="3" t="s">
        <v>11</v>
      </c>
      <c r="J1" s="3" t="s">
        <v>111</v>
      </c>
      <c r="K1" s="5" t="s">
        <v>12</v>
      </c>
      <c r="L1" s="3" t="s">
        <v>53</v>
      </c>
      <c r="M1" s="3" t="s">
        <v>13</v>
      </c>
      <c r="N1" s="3" t="s">
        <v>14</v>
      </c>
      <c r="O1" s="3" t="s">
        <v>15</v>
      </c>
      <c r="P1" s="3" t="s">
        <v>16</v>
      </c>
      <c r="Q1" s="6" t="s">
        <v>17</v>
      </c>
      <c r="R1" s="6" t="s">
        <v>18</v>
      </c>
      <c r="S1" s="6" t="s">
        <v>19</v>
      </c>
      <c r="T1" s="6" t="s">
        <v>20</v>
      </c>
      <c r="U1" s="6" t="s">
        <v>21</v>
      </c>
      <c r="V1" s="6" t="s">
        <v>7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7" t="s">
        <v>28</v>
      </c>
      <c r="AD1" s="7" t="s">
        <v>29</v>
      </c>
      <c r="AE1" s="7" t="s">
        <v>30</v>
      </c>
      <c r="AF1" s="7" t="s">
        <v>6</v>
      </c>
      <c r="AG1" s="7" t="s">
        <v>31</v>
      </c>
      <c r="AH1" s="3" t="s">
        <v>32</v>
      </c>
      <c r="AI1" s="3" t="s">
        <v>33</v>
      </c>
      <c r="AJ1" s="3" t="s">
        <v>5</v>
      </c>
    </row>
    <row r="2" spans="1:36" x14ac:dyDescent="0.2">
      <c r="A2" s="3" t="s">
        <v>34</v>
      </c>
      <c r="B2" s="3" t="s">
        <v>35</v>
      </c>
      <c r="C2" s="3" t="s">
        <v>36</v>
      </c>
      <c r="D2" s="3" t="s">
        <v>37</v>
      </c>
      <c r="E2" s="3">
        <v>24</v>
      </c>
      <c r="F2" s="3">
        <v>25</v>
      </c>
      <c r="G2" s="3">
        <v>36.200000000000003</v>
      </c>
      <c r="H2" s="8">
        <v>46394100</v>
      </c>
      <c r="I2" s="3" t="s">
        <v>46</v>
      </c>
      <c r="J2" s="3" t="s">
        <v>46</v>
      </c>
      <c r="K2" s="5">
        <f>H2/'Salary Cap'!B43</f>
        <v>0.3</v>
      </c>
      <c r="M2" s="3">
        <v>27</v>
      </c>
      <c r="N2" s="3">
        <v>6.4</v>
      </c>
      <c r="O2" s="3">
        <v>9.1999999999999993</v>
      </c>
      <c r="P2" s="3">
        <v>35.6</v>
      </c>
      <c r="Q2" s="6">
        <v>0.56000000000000005</v>
      </c>
      <c r="R2" s="6">
        <v>0.317</v>
      </c>
      <c r="S2" s="6">
        <v>0.308</v>
      </c>
      <c r="T2" s="6">
        <v>0.34599999999999997</v>
      </c>
      <c r="U2" s="6">
        <v>0.13200000000000001</v>
      </c>
      <c r="V2" s="6">
        <v>0.313</v>
      </c>
      <c r="W2" s="6">
        <v>0.40100000000000002</v>
      </c>
      <c r="X2" s="6">
        <v>0.04</v>
      </c>
      <c r="Y2" s="6">
        <v>0.15</v>
      </c>
      <c r="Z2" s="6">
        <v>9.6000000000000002E-2</v>
      </c>
      <c r="AA2" s="6">
        <v>1.9E-2</v>
      </c>
      <c r="AB2" s="6">
        <v>2.1999999999999999E-2</v>
      </c>
      <c r="AC2" s="7">
        <v>1.9</v>
      </c>
      <c r="AD2" s="7">
        <v>1.4</v>
      </c>
      <c r="AE2" s="7">
        <v>3.3</v>
      </c>
      <c r="AF2" s="7">
        <v>6.2</v>
      </c>
      <c r="AG2" s="7">
        <v>1.9</v>
      </c>
    </row>
    <row r="3" spans="1:36" x14ac:dyDescent="0.2">
      <c r="A3" s="3" t="s">
        <v>54</v>
      </c>
      <c r="B3" s="3" t="s">
        <v>55</v>
      </c>
      <c r="C3" s="3" t="s">
        <v>56</v>
      </c>
      <c r="D3" s="3" t="s">
        <v>37</v>
      </c>
      <c r="E3" s="3">
        <v>26</v>
      </c>
      <c r="F3" s="3">
        <v>76</v>
      </c>
      <c r="G3" s="3">
        <v>34.200000000000003</v>
      </c>
      <c r="H3" s="8">
        <v>35859950</v>
      </c>
      <c r="I3" s="3" t="s">
        <v>46</v>
      </c>
      <c r="J3" s="3" t="s">
        <v>46</v>
      </c>
      <c r="K3" s="5">
        <f>H3/'Salary Cap'!B42</f>
        <v>0.25507120095598484</v>
      </c>
      <c r="M3" s="3">
        <v>32.700000000000003</v>
      </c>
      <c r="N3" s="3">
        <v>5</v>
      </c>
      <c r="O3" s="3">
        <v>6.4</v>
      </c>
      <c r="P3" s="3">
        <v>45.9</v>
      </c>
      <c r="Q3" s="6">
        <v>0.63700000000000001</v>
      </c>
      <c r="R3" s="6">
        <v>0.375</v>
      </c>
      <c r="S3" s="6">
        <v>0.26300000000000001</v>
      </c>
      <c r="T3" s="6">
        <v>0.40400000000000003</v>
      </c>
      <c r="U3" s="6">
        <v>8.5999999999999993E-2</v>
      </c>
      <c r="V3" s="6">
        <v>0.34799999999999998</v>
      </c>
      <c r="W3" s="6">
        <v>0.313</v>
      </c>
      <c r="X3" s="6">
        <v>2.8000000000000001E-2</v>
      </c>
      <c r="Y3" s="6">
        <v>0.126</v>
      </c>
      <c r="Z3" s="6">
        <v>7.8E-2</v>
      </c>
      <c r="AA3" s="6">
        <v>2.4E-2</v>
      </c>
      <c r="AB3" s="6">
        <v>0.03</v>
      </c>
      <c r="AC3" s="7">
        <v>11.9</v>
      </c>
      <c r="AD3" s="7">
        <v>4.8</v>
      </c>
      <c r="AE3" s="7">
        <v>16.7</v>
      </c>
      <c r="AF3" s="7">
        <v>11.5</v>
      </c>
      <c r="AG3" s="7">
        <v>8.9</v>
      </c>
    </row>
    <row r="4" spans="1:36" x14ac:dyDescent="0.2">
      <c r="A4" s="3" t="s">
        <v>104</v>
      </c>
      <c r="B4" s="3" t="s">
        <v>96</v>
      </c>
      <c r="C4" s="3" t="s">
        <v>105</v>
      </c>
      <c r="D4" s="3" t="s">
        <v>37</v>
      </c>
      <c r="E4" s="3">
        <v>34</v>
      </c>
      <c r="F4" s="3">
        <v>64</v>
      </c>
      <c r="G4" s="3">
        <v>34.5</v>
      </c>
      <c r="H4" s="4">
        <v>45780966</v>
      </c>
      <c r="I4" s="3" t="s">
        <v>46</v>
      </c>
      <c r="J4" s="3" t="s">
        <v>46</v>
      </c>
      <c r="K4" s="5">
        <f>H4/'Salary Cap'!B39</f>
        <v>0.40725324247869482</v>
      </c>
      <c r="M4" s="3">
        <v>25.5</v>
      </c>
      <c r="N4" s="3">
        <v>5.2</v>
      </c>
      <c r="O4" s="3">
        <v>6.3</v>
      </c>
      <c r="P4" s="3">
        <v>35.9</v>
      </c>
      <c r="Q4" s="6">
        <v>0.65500000000000003</v>
      </c>
      <c r="R4" s="6">
        <v>0.38</v>
      </c>
      <c r="S4" s="6">
        <v>0.58699999999999997</v>
      </c>
      <c r="T4" s="6">
        <v>0.28899999999999998</v>
      </c>
      <c r="U4" s="6">
        <v>0.122</v>
      </c>
      <c r="V4" s="6">
        <v>0.34799999999999998</v>
      </c>
      <c r="W4" s="6">
        <v>0.30499999999999999</v>
      </c>
      <c r="X4" s="6">
        <v>1.4999999999999999E-2</v>
      </c>
      <c r="Y4" s="6">
        <v>0.154</v>
      </c>
      <c r="Z4" s="6">
        <v>8.5000000000000006E-2</v>
      </c>
      <c r="AA4" s="6">
        <v>1.7000000000000001E-2</v>
      </c>
      <c r="AB4" s="6">
        <v>3.0000000000000001E-3</v>
      </c>
      <c r="AC4" s="7">
        <v>6.5</v>
      </c>
      <c r="AD4" s="7">
        <v>2.5</v>
      </c>
      <c r="AE4" s="7">
        <v>9</v>
      </c>
      <c r="AF4" s="7">
        <v>8.6999999999999993</v>
      </c>
      <c r="AG4" s="7">
        <v>5.8</v>
      </c>
    </row>
    <row r="5" spans="1:36" x14ac:dyDescent="0.2">
      <c r="A5" s="3" t="s">
        <v>107</v>
      </c>
      <c r="B5" s="3" t="s">
        <v>35</v>
      </c>
      <c r="C5" s="3" t="s">
        <v>36</v>
      </c>
      <c r="D5" s="3" t="s">
        <v>108</v>
      </c>
      <c r="E5" s="3">
        <v>22</v>
      </c>
      <c r="F5" s="3">
        <v>25</v>
      </c>
      <c r="G5" s="3">
        <v>29</v>
      </c>
      <c r="H5" s="4">
        <v>6483144</v>
      </c>
      <c r="I5" t="s">
        <v>42</v>
      </c>
      <c r="J5" s="3" t="s">
        <v>46</v>
      </c>
      <c r="K5" s="5">
        <f>H5/'Salary Cap'!B43</f>
        <v>4.1922209936177228E-2</v>
      </c>
      <c r="M5" s="3">
        <v>18</v>
      </c>
      <c r="N5" s="3">
        <v>11</v>
      </c>
      <c r="O5" s="3">
        <v>1.7</v>
      </c>
      <c r="P5" s="3">
        <v>29.6</v>
      </c>
      <c r="Q5" s="6">
        <v>0.66700000000000004</v>
      </c>
      <c r="R5" s="6">
        <v>0</v>
      </c>
      <c r="S5" s="6">
        <v>0</v>
      </c>
      <c r="T5" s="6">
        <v>0.55100000000000005</v>
      </c>
      <c r="U5" s="6">
        <v>0.14599999999999999</v>
      </c>
      <c r="V5" s="6">
        <v>0.222</v>
      </c>
      <c r="W5" s="6">
        <v>0.09</v>
      </c>
      <c r="X5" s="6">
        <v>0.16</v>
      </c>
      <c r="Y5" s="6">
        <v>0.252</v>
      </c>
      <c r="Z5" s="6">
        <v>0.20699999999999999</v>
      </c>
      <c r="AA5" s="6">
        <v>1.4E-2</v>
      </c>
      <c r="AB5" s="6">
        <v>3.1E-2</v>
      </c>
      <c r="AC5" s="7">
        <v>2</v>
      </c>
      <c r="AD5" s="7">
        <v>1.3</v>
      </c>
      <c r="AE5" s="7">
        <v>3.3</v>
      </c>
      <c r="AF5" s="7">
        <v>2.4</v>
      </c>
      <c r="AG5" s="7">
        <v>0.8</v>
      </c>
    </row>
    <row r="6" spans="1:36" x14ac:dyDescent="0.2">
      <c r="A6" s="3" t="s">
        <v>109</v>
      </c>
      <c r="B6" s="3" t="s">
        <v>35</v>
      </c>
      <c r="C6" s="3" t="s">
        <v>36</v>
      </c>
      <c r="D6" s="3" t="s">
        <v>110</v>
      </c>
      <c r="E6" s="3">
        <v>24</v>
      </c>
      <c r="F6" s="3">
        <v>13</v>
      </c>
      <c r="G6" s="3">
        <v>14.8</v>
      </c>
      <c r="H6" s="4">
        <v>7977240</v>
      </c>
      <c r="I6" t="s">
        <v>49</v>
      </c>
      <c r="J6"/>
      <c r="K6" s="5">
        <f>H6/'Salary Cap'!B43</f>
        <v>5.158354187278124E-2</v>
      </c>
      <c r="M6" s="3">
        <v>7.8</v>
      </c>
      <c r="N6" s="3">
        <v>2.2999999999999998</v>
      </c>
      <c r="O6" s="3">
        <v>1.5</v>
      </c>
      <c r="P6" s="3">
        <v>25.1</v>
      </c>
      <c r="Q6" s="6">
        <v>0.56200000000000006</v>
      </c>
      <c r="R6" s="6">
        <v>0.32500000000000001</v>
      </c>
      <c r="S6" s="6">
        <v>0.48799999999999999</v>
      </c>
      <c r="T6" s="6">
        <v>0.22</v>
      </c>
      <c r="U6" s="6">
        <v>0.13500000000000001</v>
      </c>
      <c r="V6" s="6">
        <v>0.22</v>
      </c>
      <c r="W6" s="6">
        <v>0.14699999999999999</v>
      </c>
      <c r="X6" s="6">
        <v>4.5999999999999999E-2</v>
      </c>
      <c r="Y6" s="6">
        <v>0.123</v>
      </c>
      <c r="Z6" s="6">
        <v>8.5000000000000006E-2</v>
      </c>
      <c r="AA6" s="6">
        <v>0.02</v>
      </c>
      <c r="AB6" s="6">
        <v>0.01</v>
      </c>
      <c r="AC6" s="7">
        <v>0.1</v>
      </c>
      <c r="AD6" s="7">
        <v>0.3</v>
      </c>
      <c r="AE6" s="7">
        <v>0.4</v>
      </c>
      <c r="AF6" s="7">
        <v>-0.3</v>
      </c>
      <c r="AG6" s="7">
        <v>0.1</v>
      </c>
    </row>
    <row r="7" spans="1:36" x14ac:dyDescent="0.2">
      <c r="A7" s="3" t="s">
        <v>112</v>
      </c>
      <c r="B7" s="3" t="s">
        <v>96</v>
      </c>
      <c r="C7" s="3" t="s">
        <v>113</v>
      </c>
      <c r="D7" s="3" t="s">
        <v>108</v>
      </c>
      <c r="E7" s="3">
        <v>24</v>
      </c>
      <c r="F7" s="3">
        <v>56</v>
      </c>
      <c r="G7" s="3">
        <v>32.299999999999997</v>
      </c>
      <c r="H7" s="4">
        <v>20000000</v>
      </c>
      <c r="I7" t="s">
        <v>50</v>
      </c>
      <c r="K7" s="5">
        <f>H7/'Salary Cap'!B39</f>
        <v>0.17791378298076752</v>
      </c>
      <c r="M7" s="3">
        <v>16.100000000000001</v>
      </c>
      <c r="N7" s="3">
        <v>10.8</v>
      </c>
      <c r="O7" s="3">
        <v>1.6</v>
      </c>
      <c r="P7" s="3">
        <v>25</v>
      </c>
      <c r="Q7" s="6">
        <v>0.69799999999999995</v>
      </c>
      <c r="R7" s="6">
        <v>0.1</v>
      </c>
      <c r="S7" s="6">
        <v>1.7999999999999999E-2</v>
      </c>
      <c r="T7" s="6">
        <v>0.45800000000000002</v>
      </c>
      <c r="U7" s="6">
        <v>0.127</v>
      </c>
      <c r="V7" s="6">
        <v>0.18099999999999999</v>
      </c>
      <c r="W7" s="6">
        <v>8.2000000000000003E-2</v>
      </c>
      <c r="X7" s="6">
        <v>0.12</v>
      </c>
      <c r="Y7" s="6">
        <v>0.245</v>
      </c>
      <c r="Z7" s="6">
        <v>0.184</v>
      </c>
      <c r="AA7" s="6">
        <v>1.2E-2</v>
      </c>
      <c r="AB7" s="6">
        <v>3.6999999999999998E-2</v>
      </c>
      <c r="AC7" s="7">
        <v>5.4</v>
      </c>
      <c r="AD7" s="7">
        <v>3</v>
      </c>
      <c r="AE7" s="7">
        <v>8.5</v>
      </c>
      <c r="AF7" s="7">
        <v>3.9</v>
      </c>
      <c r="AG7" s="7">
        <v>2.7</v>
      </c>
    </row>
    <row r="8" spans="1:36" x14ac:dyDescent="0.2">
      <c r="A8" s="3" t="s">
        <v>114</v>
      </c>
      <c r="B8" s="3" t="s">
        <v>93</v>
      </c>
      <c r="C8" s="3" t="s">
        <v>115</v>
      </c>
      <c r="D8" s="3" t="s">
        <v>108</v>
      </c>
      <c r="E8" s="3">
        <v>25</v>
      </c>
      <c r="F8" s="3">
        <v>67</v>
      </c>
      <c r="G8" s="3">
        <v>33.6</v>
      </c>
      <c r="M8" s="3">
        <v>16.600000000000001</v>
      </c>
      <c r="N8" s="3">
        <v>12.7</v>
      </c>
      <c r="O8" s="3">
        <v>1.4</v>
      </c>
      <c r="P8" s="3">
        <v>24.3</v>
      </c>
      <c r="Q8" s="6">
        <v>0.65800000000000003</v>
      </c>
      <c r="R8" s="6">
        <v>0</v>
      </c>
      <c r="S8" s="6">
        <v>0</v>
      </c>
      <c r="T8" s="6">
        <v>0.35699999999999998</v>
      </c>
      <c r="U8" s="6">
        <v>0.1</v>
      </c>
      <c r="V8" s="6">
        <v>0.182</v>
      </c>
      <c r="W8" s="6">
        <v>7.0999999999999994E-2</v>
      </c>
      <c r="X8" s="6">
        <v>0.14399999999999999</v>
      </c>
      <c r="Y8" s="6">
        <v>0.27600000000000002</v>
      </c>
      <c r="Z8" s="6">
        <v>0.20799999999999999</v>
      </c>
      <c r="AA8" s="6">
        <v>0.01</v>
      </c>
      <c r="AB8" s="6">
        <v>3.9E-2</v>
      </c>
      <c r="AC8" s="7">
        <v>7.8</v>
      </c>
      <c r="AD8" s="7">
        <v>3</v>
      </c>
      <c r="AE8" s="7">
        <v>10.8</v>
      </c>
      <c r="AF8" s="7">
        <v>3</v>
      </c>
      <c r="AG8" s="7">
        <v>2.8</v>
      </c>
    </row>
    <row r="9" spans="1:36" x14ac:dyDescent="0.2">
      <c r="A9" s="3" t="s">
        <v>116</v>
      </c>
      <c r="B9" s="3" t="s">
        <v>97</v>
      </c>
      <c r="C9" s="3" t="s">
        <v>117</v>
      </c>
      <c r="D9" s="3" t="s">
        <v>108</v>
      </c>
    </row>
    <row r="10" spans="1:36" x14ac:dyDescent="0.2">
      <c r="A10" s="3" t="s">
        <v>118</v>
      </c>
      <c r="B10" s="3" t="s">
        <v>95</v>
      </c>
      <c r="C10" s="3" t="s">
        <v>113</v>
      </c>
      <c r="D10" s="3" t="s">
        <v>37</v>
      </c>
    </row>
    <row r="11" spans="1:36" x14ac:dyDescent="0.2">
      <c r="A11" s="3" t="s">
        <v>119</v>
      </c>
      <c r="B11" s="3" t="s">
        <v>96</v>
      </c>
      <c r="C11" s="3" t="s">
        <v>105</v>
      </c>
      <c r="D11" s="3" t="s">
        <v>110</v>
      </c>
    </row>
    <row r="12" spans="1:36" x14ac:dyDescent="0.2">
      <c r="A12" s="3" t="s">
        <v>120</v>
      </c>
      <c r="B12" s="3" t="s">
        <v>93</v>
      </c>
      <c r="C12" s="3" t="s">
        <v>121</v>
      </c>
      <c r="D12" s="3" t="s">
        <v>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E3CB9-2ADB-A04E-B1AE-C7866E8F339D}">
  <dimension ref="A1:D7"/>
  <sheetViews>
    <sheetView workbookViewId="0">
      <selection activeCell="D5" sqref="D5"/>
    </sheetView>
  </sheetViews>
  <sheetFormatPr baseColWidth="10" defaultRowHeight="16" x14ac:dyDescent="0.2"/>
  <cols>
    <col min="1" max="1" width="16.33203125" bestFit="1" customWidth="1"/>
    <col min="2" max="3" width="11.33203125" bestFit="1" customWidth="1"/>
    <col min="4" max="4" width="28.1640625" bestFit="1" customWidth="1"/>
  </cols>
  <sheetData>
    <row r="1" spans="1:4" x14ac:dyDescent="0.2">
      <c r="A1" t="s">
        <v>11</v>
      </c>
      <c r="B1" t="s">
        <v>39</v>
      </c>
      <c r="C1" t="s">
        <v>38</v>
      </c>
      <c r="D1" t="s">
        <v>40</v>
      </c>
    </row>
    <row r="2" spans="1:4" x14ac:dyDescent="0.2">
      <c r="A2" t="s">
        <v>41</v>
      </c>
      <c r="B2">
        <v>0</v>
      </c>
      <c r="C2">
        <v>2.5</v>
      </c>
      <c r="D2" t="s">
        <v>47</v>
      </c>
    </row>
    <row r="3" spans="1:4" x14ac:dyDescent="0.2">
      <c r="A3" t="s">
        <v>42</v>
      </c>
      <c r="B3">
        <v>2.5</v>
      </c>
      <c r="C3">
        <v>7.5</v>
      </c>
      <c r="D3" t="s">
        <v>48</v>
      </c>
    </row>
    <row r="4" spans="1:4" x14ac:dyDescent="0.2">
      <c r="A4" t="s">
        <v>43</v>
      </c>
      <c r="B4">
        <v>7.5</v>
      </c>
      <c r="C4">
        <v>15</v>
      </c>
      <c r="D4" t="s">
        <v>49</v>
      </c>
    </row>
    <row r="5" spans="1:4" x14ac:dyDescent="0.2">
      <c r="A5" t="s">
        <v>44</v>
      </c>
      <c r="B5">
        <v>15</v>
      </c>
      <c r="C5">
        <v>25</v>
      </c>
      <c r="D5" t="s">
        <v>50</v>
      </c>
    </row>
    <row r="6" spans="1:4" x14ac:dyDescent="0.2">
      <c r="A6" t="s">
        <v>45</v>
      </c>
      <c r="B6">
        <v>25</v>
      </c>
      <c r="C6">
        <v>35</v>
      </c>
      <c r="D6" t="s">
        <v>51</v>
      </c>
    </row>
    <row r="7" spans="1:4" x14ac:dyDescent="0.2">
      <c r="A7" t="s">
        <v>46</v>
      </c>
      <c r="B7">
        <v>35</v>
      </c>
      <c r="C7">
        <v>100</v>
      </c>
      <c r="D7" t="s">
        <v>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F86BD-2F76-BD48-924A-B81A826E76E9}">
  <dimension ref="A1:B43"/>
  <sheetViews>
    <sheetView topLeftCell="A11" workbookViewId="0">
      <selection activeCell="B39" sqref="B39"/>
    </sheetView>
  </sheetViews>
  <sheetFormatPr baseColWidth="10" defaultRowHeight="16" x14ac:dyDescent="0.2"/>
  <cols>
    <col min="1" max="1" width="7.83203125" bestFit="1" customWidth="1"/>
    <col min="2" max="2" width="12.83203125" bestFit="1" customWidth="1"/>
  </cols>
  <sheetData>
    <row r="1" spans="1:2" x14ac:dyDescent="0.2">
      <c r="A1" t="s">
        <v>57</v>
      </c>
      <c r="B1" t="s">
        <v>58</v>
      </c>
    </row>
    <row r="2" spans="1:2" x14ac:dyDescent="0.2">
      <c r="A2" s="1" t="s">
        <v>59</v>
      </c>
      <c r="B2" s="2">
        <v>3600000</v>
      </c>
    </row>
    <row r="3" spans="1:2" x14ac:dyDescent="0.2">
      <c r="A3" s="1" t="s">
        <v>60</v>
      </c>
      <c r="B3" s="2">
        <v>4233000</v>
      </c>
    </row>
    <row r="4" spans="1:2" x14ac:dyDescent="0.2">
      <c r="A4" s="1" t="s">
        <v>61</v>
      </c>
      <c r="B4" s="2">
        <v>4945000</v>
      </c>
    </row>
    <row r="5" spans="1:2" x14ac:dyDescent="0.2">
      <c r="A5" s="1" t="s">
        <v>62</v>
      </c>
      <c r="B5" s="2">
        <v>6164000</v>
      </c>
    </row>
    <row r="6" spans="1:2" x14ac:dyDescent="0.2">
      <c r="A6" s="1" t="s">
        <v>63</v>
      </c>
      <c r="B6" s="2">
        <v>7232000</v>
      </c>
    </row>
    <row r="7" spans="1:2" x14ac:dyDescent="0.2">
      <c r="A7" s="1" t="s">
        <v>64</v>
      </c>
      <c r="B7" s="2">
        <v>9802000</v>
      </c>
    </row>
    <row r="8" spans="1:2" x14ac:dyDescent="0.2">
      <c r="A8" s="1" t="s">
        <v>65</v>
      </c>
      <c r="B8" s="2">
        <v>11871000</v>
      </c>
    </row>
    <row r="9" spans="1:2" x14ac:dyDescent="0.2">
      <c r="A9" s="1" t="s">
        <v>66</v>
      </c>
      <c r="B9" s="2">
        <v>12500000</v>
      </c>
    </row>
    <row r="10" spans="1:2" x14ac:dyDescent="0.2">
      <c r="A10" s="1" t="s">
        <v>67</v>
      </c>
      <c r="B10" s="2">
        <v>14000000</v>
      </c>
    </row>
    <row r="11" spans="1:2" x14ac:dyDescent="0.2">
      <c r="A11" s="1" t="s">
        <v>68</v>
      </c>
      <c r="B11" s="2">
        <v>15175000</v>
      </c>
    </row>
    <row r="12" spans="1:2" x14ac:dyDescent="0.2">
      <c r="A12" s="1" t="s">
        <v>69</v>
      </c>
      <c r="B12" s="2">
        <v>15964000</v>
      </c>
    </row>
    <row r="13" spans="1:2" x14ac:dyDescent="0.2">
      <c r="A13" s="1" t="s">
        <v>70</v>
      </c>
      <c r="B13" s="2">
        <v>23000000</v>
      </c>
    </row>
    <row r="14" spans="1:2" x14ac:dyDescent="0.2">
      <c r="A14" s="1" t="s">
        <v>71</v>
      </c>
      <c r="B14" s="2">
        <v>24363000</v>
      </c>
    </row>
    <row r="15" spans="1:2" x14ac:dyDescent="0.2">
      <c r="A15" s="1" t="s">
        <v>72</v>
      </c>
      <c r="B15" s="2">
        <v>26900000</v>
      </c>
    </row>
    <row r="16" spans="1:2" x14ac:dyDescent="0.2">
      <c r="A16" s="1" t="s">
        <v>73</v>
      </c>
      <c r="B16" s="2">
        <v>30000000</v>
      </c>
    </row>
    <row r="17" spans="1:2" x14ac:dyDescent="0.2">
      <c r="A17" s="1" t="s">
        <v>74</v>
      </c>
      <c r="B17" s="2">
        <v>34000000</v>
      </c>
    </row>
    <row r="18" spans="1:2" x14ac:dyDescent="0.2">
      <c r="A18" s="1" t="s">
        <v>75</v>
      </c>
      <c r="B18" s="2">
        <v>35500000</v>
      </c>
    </row>
    <row r="19" spans="1:2" x14ac:dyDescent="0.2">
      <c r="A19" s="1" t="s">
        <v>76</v>
      </c>
      <c r="B19" s="2">
        <v>42500000</v>
      </c>
    </row>
    <row r="20" spans="1:2" x14ac:dyDescent="0.2">
      <c r="A20" s="1" t="s">
        <v>77</v>
      </c>
      <c r="B20" s="2">
        <v>40271000</v>
      </c>
    </row>
    <row r="21" spans="1:2" x14ac:dyDescent="0.2">
      <c r="A21" s="1" t="s">
        <v>78</v>
      </c>
      <c r="B21" s="2">
        <v>43840000</v>
      </c>
    </row>
    <row r="22" spans="1:2" x14ac:dyDescent="0.2">
      <c r="A22" s="1" t="s">
        <v>79</v>
      </c>
      <c r="B22" s="2">
        <v>43870000</v>
      </c>
    </row>
    <row r="23" spans="1:2" x14ac:dyDescent="0.2">
      <c r="A23" s="1" t="s">
        <v>80</v>
      </c>
      <c r="B23" s="2">
        <v>49500000</v>
      </c>
    </row>
    <row r="24" spans="1:2" x14ac:dyDescent="0.2">
      <c r="A24" s="1" t="s">
        <v>81</v>
      </c>
      <c r="B24" s="2">
        <v>53135000</v>
      </c>
    </row>
    <row r="25" spans="1:2" x14ac:dyDescent="0.2">
      <c r="A25" s="1" t="s">
        <v>82</v>
      </c>
      <c r="B25" s="2">
        <v>55630000</v>
      </c>
    </row>
    <row r="26" spans="1:2" x14ac:dyDescent="0.2">
      <c r="A26" s="1" t="s">
        <v>83</v>
      </c>
      <c r="B26" s="2">
        <v>58680000</v>
      </c>
    </row>
    <row r="27" spans="1:2" x14ac:dyDescent="0.2">
      <c r="A27" s="1" t="s">
        <v>84</v>
      </c>
      <c r="B27" s="2">
        <v>57700000</v>
      </c>
    </row>
    <row r="28" spans="1:2" x14ac:dyDescent="0.2">
      <c r="A28" s="1" t="s">
        <v>85</v>
      </c>
      <c r="B28" s="2">
        <v>58044000</v>
      </c>
    </row>
    <row r="29" spans="1:2" x14ac:dyDescent="0.2">
      <c r="A29" s="1" t="s">
        <v>86</v>
      </c>
      <c r="B29" s="2">
        <v>58044000</v>
      </c>
    </row>
    <row r="30" spans="1:2" x14ac:dyDescent="0.2">
      <c r="A30" s="1" t="s">
        <v>87</v>
      </c>
      <c r="B30" s="2">
        <v>58044000</v>
      </c>
    </row>
    <row r="31" spans="1:2" x14ac:dyDescent="0.2">
      <c r="A31" s="1" t="s">
        <v>88</v>
      </c>
      <c r="B31" s="2">
        <v>58679000</v>
      </c>
    </row>
    <row r="32" spans="1:2" x14ac:dyDescent="0.2">
      <c r="A32" s="1" t="s">
        <v>89</v>
      </c>
      <c r="B32" s="2">
        <v>63065000</v>
      </c>
    </row>
    <row r="33" spans="1:2" x14ac:dyDescent="0.2">
      <c r="A33" s="1" t="s">
        <v>90</v>
      </c>
      <c r="B33" s="2">
        <v>70000000</v>
      </c>
    </row>
    <row r="34" spans="1:2" x14ac:dyDescent="0.2">
      <c r="A34" s="1" t="s">
        <v>91</v>
      </c>
      <c r="B34" s="2">
        <v>94143000</v>
      </c>
    </row>
    <row r="35" spans="1:2" x14ac:dyDescent="0.2">
      <c r="A35" s="1" t="s">
        <v>92</v>
      </c>
      <c r="B35" s="2">
        <v>99093000</v>
      </c>
    </row>
    <row r="36" spans="1:2" x14ac:dyDescent="0.2">
      <c r="A36" s="1" t="s">
        <v>93</v>
      </c>
      <c r="B36" s="2">
        <v>101869000</v>
      </c>
    </row>
    <row r="37" spans="1:2" x14ac:dyDescent="0.2">
      <c r="A37" s="1" t="s">
        <v>94</v>
      </c>
      <c r="B37" s="2">
        <v>109140000</v>
      </c>
    </row>
    <row r="38" spans="1:2" x14ac:dyDescent="0.2">
      <c r="A38" s="1" t="s">
        <v>95</v>
      </c>
      <c r="B38" s="2">
        <v>109140000</v>
      </c>
    </row>
    <row r="39" spans="1:2" x14ac:dyDescent="0.2">
      <c r="A39" s="1" t="s">
        <v>96</v>
      </c>
      <c r="B39" s="2">
        <v>112414000</v>
      </c>
    </row>
    <row r="40" spans="1:2" x14ac:dyDescent="0.2">
      <c r="A40" s="1" t="s">
        <v>97</v>
      </c>
      <c r="B40" s="2">
        <v>123655000</v>
      </c>
    </row>
    <row r="41" spans="1:2" x14ac:dyDescent="0.2">
      <c r="A41" s="1" t="s">
        <v>98</v>
      </c>
      <c r="B41" s="2">
        <v>136021000</v>
      </c>
    </row>
    <row r="42" spans="1:2" x14ac:dyDescent="0.2">
      <c r="A42" s="1" t="s">
        <v>55</v>
      </c>
      <c r="B42" s="2">
        <v>140588000</v>
      </c>
    </row>
    <row r="43" spans="1:2" x14ac:dyDescent="0.2">
      <c r="A43" s="1" t="s">
        <v>35</v>
      </c>
      <c r="B43" s="2">
        <v>154647000</v>
      </c>
    </row>
  </sheetData>
  <hyperlinks>
    <hyperlink ref="A2" r:id="rId1" display="https://www.basketball-reference.com/leagues/NBA_1985.html" xr:uid="{52341F1B-2B4C-A146-9CAF-5C05BE98C205}"/>
    <hyperlink ref="A3" r:id="rId2" display="https://www.basketball-reference.com/leagues/NBA_1986.html" xr:uid="{F4BFF428-D494-2A4F-A673-AE1C9221A365}"/>
    <hyperlink ref="A4" r:id="rId3" display="https://www.basketball-reference.com/leagues/NBA_1987.html" xr:uid="{87CE413C-A633-CC4F-8703-8AA82E55AA0A}"/>
    <hyperlink ref="A5" r:id="rId4" display="https://www.basketball-reference.com/leagues/NBA_1988.html" xr:uid="{AEA5B160-00B9-124D-BB8E-84602F00C800}"/>
    <hyperlink ref="A6" r:id="rId5" display="https://www.basketball-reference.com/leagues/NBA_1989.html" xr:uid="{3233D62C-BE98-C240-925A-44772E496BDB}"/>
    <hyperlink ref="A7" r:id="rId6" display="https://www.basketball-reference.com/leagues/NBA_1990.html" xr:uid="{5D5E6D9C-0609-0743-9841-D84341386462}"/>
    <hyperlink ref="A8" r:id="rId7" display="https://www.basketball-reference.com/leagues/NBA_1991.html" xr:uid="{3BB7B61E-04F7-D645-AD48-A962E49BB0E5}"/>
    <hyperlink ref="A9" r:id="rId8" display="https://www.basketball-reference.com/leagues/NBA_1992.html" xr:uid="{5D01BB23-2DB4-F341-918D-9FE8739BB4E1}"/>
    <hyperlink ref="A10" r:id="rId9" display="https://www.basketball-reference.com/leagues/NBA_1993.html" xr:uid="{D9D0B512-BDE3-4F48-9165-47EA66AA6C1E}"/>
    <hyperlink ref="A11" r:id="rId10" display="https://www.basketball-reference.com/leagues/NBA_1994.html" xr:uid="{E1ABBC8C-0B96-4648-880F-623764E02430}"/>
    <hyperlink ref="A12" r:id="rId11" display="https://www.basketball-reference.com/leagues/NBA_1995.html" xr:uid="{E8C063B3-F101-A343-96D8-81E9BCDC1B09}"/>
    <hyperlink ref="A13" r:id="rId12" display="https://www.basketball-reference.com/leagues/NBA_1996.html" xr:uid="{0EE4506D-05C6-C245-BC4C-38D00F7AEC3E}"/>
    <hyperlink ref="A14" r:id="rId13" display="https://www.basketball-reference.com/leagues/NBA_1997.html" xr:uid="{D125291D-EEDF-A547-9884-BAB9F2FC3932}"/>
    <hyperlink ref="A15" r:id="rId14" display="https://www.basketball-reference.com/leagues/NBA_1998.html" xr:uid="{2DF919EE-85FA-0144-B208-60C1C1A9E605}"/>
    <hyperlink ref="A16" r:id="rId15" display="https://www.basketball-reference.com/leagues/NBA_1999.html" xr:uid="{C48B03F9-C97A-8648-8FC4-6BB5936E7BDC}"/>
    <hyperlink ref="A17" r:id="rId16" display="https://www.basketball-reference.com/leagues/NBA_2000.html" xr:uid="{0540BB54-710E-BE4A-A1E7-A218F223812D}"/>
    <hyperlink ref="A18" r:id="rId17" display="https://www.basketball-reference.com/leagues/NBA_2001.html" xr:uid="{E86A555E-DED0-5A4A-93C6-BEE3AF8BBBEF}"/>
    <hyperlink ref="A19" r:id="rId18" display="https://www.basketball-reference.com/leagues/NBA_2002.html" xr:uid="{A5940559-2492-8343-BEC0-E97DF897BB53}"/>
    <hyperlink ref="A20" r:id="rId19" display="https://www.basketball-reference.com/leagues/NBA_2003.html" xr:uid="{76F04AB2-5B7D-224F-84A7-4619C54B8ACB}"/>
    <hyperlink ref="A21" r:id="rId20" display="https://www.basketball-reference.com/leagues/NBA_2004.html" xr:uid="{6ED2AC61-F9D7-B44D-B3CE-549D37DA0D97}"/>
    <hyperlink ref="A22" r:id="rId21" display="https://www.basketball-reference.com/leagues/NBA_2005.html" xr:uid="{E7412550-F259-9146-ABCD-A8ECD9CB0F68}"/>
    <hyperlink ref="A23" r:id="rId22" display="https://www.basketball-reference.com/leagues/NBA_2006.html" xr:uid="{2BC46CAA-EA64-BF45-866F-7A1508E21251}"/>
    <hyperlink ref="A24" r:id="rId23" display="https://www.basketball-reference.com/leagues/NBA_2007.html" xr:uid="{C4C150AE-4C68-7045-9DF8-19A49FF4D44E}"/>
    <hyperlink ref="A25" r:id="rId24" display="https://www.basketball-reference.com/leagues/NBA_2008.html" xr:uid="{7489EA2F-99CE-E34B-A23E-1923200880D1}"/>
    <hyperlink ref="A26" r:id="rId25" display="https://www.basketball-reference.com/leagues/NBA_2009.html" xr:uid="{B5A133C2-D7E8-9A4E-B6FA-D262AF7A4CA8}"/>
    <hyperlink ref="A27" r:id="rId26" display="https://www.basketball-reference.com/leagues/NBA_2010.html" xr:uid="{6D9BA10F-DDF1-E34F-9A7B-E1EAC101E916}"/>
    <hyperlink ref="A28" r:id="rId27" display="https://www.basketball-reference.com/leagues/NBA_2011.html" xr:uid="{FA640BDA-9A06-7249-89A1-38DA7C869A9C}"/>
    <hyperlink ref="A29" r:id="rId28" display="https://www.basketball-reference.com/leagues/NBA_2012.html" xr:uid="{4132B0BD-7B36-3346-BA00-4589ACB8F434}"/>
    <hyperlink ref="A30" r:id="rId29" display="https://www.basketball-reference.com/leagues/NBA_2013.html" xr:uid="{E745E924-C528-CD40-A8E9-CB04ED12ED26}"/>
    <hyperlink ref="A31" r:id="rId30" display="https://www.basketball-reference.com/leagues/NBA_2014.html" xr:uid="{C7D3B51E-42E8-4849-822A-711147A32C6D}"/>
    <hyperlink ref="A32" r:id="rId31" display="https://www.basketball-reference.com/leagues/NBA_2015.html" xr:uid="{2B37768F-3BF2-1448-A614-D786EC8F22F1}"/>
    <hyperlink ref="A33" r:id="rId32" display="https://www.basketball-reference.com/leagues/NBA_2016.html" xr:uid="{8F6BD9B4-4085-D546-8479-EE4A276A2278}"/>
    <hyperlink ref="A34" r:id="rId33" display="https://www.basketball-reference.com/leagues/NBA_2017.html" xr:uid="{FAEBC139-3DB7-4046-9130-8C849EB41BBF}"/>
    <hyperlink ref="A35" r:id="rId34" display="https://www.basketball-reference.com/leagues/NBA_2018.html" xr:uid="{D8700342-5920-4B41-B83B-D6EAE4AD03A3}"/>
    <hyperlink ref="A36" r:id="rId35" display="https://www.basketball-reference.com/leagues/NBA_2019.html" xr:uid="{FA13F914-AC75-1346-9BCE-C79F91E867F2}"/>
    <hyperlink ref="A37" r:id="rId36" display="https://www.basketball-reference.com/leagues/NBA_2020.html" xr:uid="{06475941-C630-4B48-9B1B-94EFAB03A42B}"/>
    <hyperlink ref="A38" r:id="rId37" display="https://www.basketball-reference.com/leagues/NBA_2021.html" xr:uid="{64A891CF-5DB9-9145-A370-962D16DC0786}"/>
    <hyperlink ref="A39" r:id="rId38" display="https://www.basketball-reference.com/leagues/NBA_2022.html" xr:uid="{69274E97-4DB1-1840-91E5-B3D16CD428D1}"/>
    <hyperlink ref="A40" r:id="rId39" display="https://www.basketball-reference.com/leagues/NBA_2023.html" xr:uid="{1B47B596-F097-974D-ACB9-A505DD9CDBA7}"/>
    <hyperlink ref="A41" r:id="rId40" display="https://www.basketball-reference.com/leagues/NBA_2024.html" xr:uid="{0676415E-2997-7543-B699-2E1D2CB7926A}"/>
    <hyperlink ref="A42" r:id="rId41" display="https://www.basketball-reference.com/leagues/NBA_2025.html" xr:uid="{6EB94FAA-8801-3846-A31E-1FD5134C924B}"/>
    <hyperlink ref="A43" r:id="rId42" display="https://www.basketball-reference.com/leagues/NBA_2026.html" xr:uid="{D9747D62-C817-D744-900E-FDC88F3D1F0B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65C83-0A0A-7647-9F09-58616F6AB5D1}">
  <dimension ref="A1:B5"/>
  <sheetViews>
    <sheetView workbookViewId="0">
      <selection activeCell="A6" sqref="A6"/>
    </sheetView>
  </sheetViews>
  <sheetFormatPr baseColWidth="10" defaultRowHeight="16" x14ac:dyDescent="0.2"/>
  <sheetData>
    <row r="1" spans="1:2" x14ac:dyDescent="0.2">
      <c r="A1" t="s">
        <v>99</v>
      </c>
      <c r="B1" t="s">
        <v>100</v>
      </c>
    </row>
    <row r="2" spans="1:2" x14ac:dyDescent="0.2">
      <c r="A2" t="s">
        <v>58</v>
      </c>
      <c r="B2" t="s">
        <v>101</v>
      </c>
    </row>
    <row r="3" spans="1:2" x14ac:dyDescent="0.2">
      <c r="A3" t="s">
        <v>34</v>
      </c>
      <c r="B3" t="s">
        <v>102</v>
      </c>
    </row>
    <row r="4" spans="1:2" x14ac:dyDescent="0.2">
      <c r="A4" t="s">
        <v>54</v>
      </c>
      <c r="B4" t="s">
        <v>103</v>
      </c>
    </row>
    <row r="5" spans="1:2" x14ac:dyDescent="0.2">
      <c r="A5" t="s">
        <v>104</v>
      </c>
      <c r="B5" t="s">
        <v>106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Player Data</vt:lpstr>
      <vt:lpstr>Salary Definitions</vt:lpstr>
      <vt:lpstr>Salary Cap</vt:lpstr>
      <vt:lpstr>Helpful Information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Canete</dc:creator>
  <cp:lastModifiedBy>Sergio Canete</cp:lastModifiedBy>
  <dcterms:created xsi:type="dcterms:W3CDTF">2025-12-22T00:33:04Z</dcterms:created>
  <dcterms:modified xsi:type="dcterms:W3CDTF">2025-12-22T02:19:20Z</dcterms:modified>
</cp:coreProperties>
</file>