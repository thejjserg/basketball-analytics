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Assignments/"/>
    </mc:Choice>
  </mc:AlternateContent>
  <xr:revisionPtr revIDLastSave="0" documentId="13_ncr:1_{43C261BB-E01A-7C46-8320-546F3B3E9877}" xr6:coauthVersionLast="47" xr6:coauthVersionMax="47" xr10:uidLastSave="{00000000-0000-0000-0000-000000000000}"/>
  <bookViews>
    <workbookView xWindow="0" yWindow="680" windowWidth="30240" windowHeight="17720" xr2:uid="{887C40B1-A329-E54C-B903-0CF34CC7FD1D}"/>
  </bookViews>
  <sheets>
    <sheet name="Player Data" sheetId="1" r:id="rId1"/>
    <sheet name="Play Level Tier Definitions" sheetId="5" r:id="rId2"/>
    <sheet name="Salary Tier Definitions" sheetId="2" r:id="rId3"/>
    <sheet name="Salary Cap" sheetId="3" r:id="rId4"/>
    <sheet name="Helpful Information" sheetId="4" r:id="rId5"/>
  </sheets>
  <definedNames>
    <definedName name="_xlnm._FilterDatabase" localSheetId="0" hidden="1">'Player Data'!$A$1:$AJ$13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0" i="1"/>
  <c r="L10" i="1"/>
  <c r="M10" i="1"/>
  <c r="N10" i="1"/>
  <c r="L17" i="1"/>
  <c r="M17" i="1"/>
  <c r="N17" i="1"/>
  <c r="K8" i="1"/>
  <c r="L8" i="1"/>
  <c r="M8" i="1"/>
  <c r="N8" i="1"/>
  <c r="K16" i="1"/>
  <c r="M16" i="1"/>
  <c r="N16" i="1"/>
  <c r="L16" i="1"/>
  <c r="K22" i="1"/>
  <c r="K20" i="1"/>
  <c r="K4" i="1"/>
  <c r="K18" i="1"/>
  <c r="K23" i="1"/>
  <c r="K2" i="1"/>
  <c r="L22" i="1"/>
  <c r="M22" i="1"/>
  <c r="N22" i="1"/>
  <c r="L23" i="1"/>
  <c r="M23" i="1"/>
  <c r="N23" i="1"/>
  <c r="L18" i="1"/>
  <c r="M18" i="1"/>
  <c r="N18" i="1"/>
  <c r="L4" i="1"/>
  <c r="M4" i="1"/>
  <c r="N4" i="1"/>
  <c r="L20" i="1"/>
  <c r="M20" i="1"/>
  <c r="N20" i="1"/>
  <c r="L26" i="1"/>
  <c r="M26" i="1"/>
  <c r="N26" i="1"/>
  <c r="K26" i="1"/>
  <c r="N2" i="1"/>
  <c r="N9" i="1"/>
  <c r="K9" i="1"/>
  <c r="L2" i="1"/>
  <c r="M2" i="1"/>
  <c r="L9" i="1"/>
  <c r="M9" i="1"/>
  <c r="M25" i="1"/>
  <c r="N25" i="1"/>
  <c r="L25" i="1"/>
  <c r="K25" i="1"/>
  <c r="K24" i="1"/>
  <c r="L24" i="1"/>
  <c r="M24" i="1"/>
  <c r="N24" i="1"/>
  <c r="M21" i="1"/>
  <c r="N21" i="1"/>
  <c r="L21" i="1"/>
  <c r="K21" i="1"/>
  <c r="N7" i="1"/>
  <c r="N15" i="1"/>
  <c r="N6" i="1"/>
  <c r="N27" i="1"/>
  <c r="N14" i="1"/>
  <c r="N13" i="1"/>
  <c r="N3" i="1"/>
  <c r="N28" i="1"/>
  <c r="N5" i="1"/>
  <c r="N11" i="1"/>
  <c r="N12" i="1"/>
  <c r="N19" i="1"/>
  <c r="M7" i="1"/>
  <c r="M15" i="1"/>
  <c r="M6" i="1"/>
  <c r="M27" i="1"/>
  <c r="M14" i="1"/>
  <c r="M13" i="1"/>
  <c r="M3" i="1"/>
  <c r="M28" i="1"/>
  <c r="M5" i="1"/>
  <c r="M11" i="1"/>
  <c r="M12" i="1"/>
  <c r="M19" i="1"/>
  <c r="L7" i="1"/>
  <c r="L15" i="1"/>
  <c r="L6" i="1"/>
  <c r="L27" i="1"/>
  <c r="L14" i="1"/>
  <c r="L13" i="1"/>
  <c r="L3" i="1"/>
  <c r="L28" i="1"/>
  <c r="L5" i="1"/>
  <c r="L11" i="1"/>
  <c r="L12" i="1"/>
  <c r="L19" i="1"/>
  <c r="K11" i="1"/>
  <c r="K5" i="1"/>
  <c r="K28" i="1"/>
  <c r="K3" i="1"/>
  <c r="K12" i="1"/>
  <c r="K13" i="1"/>
  <c r="K14" i="1"/>
  <c r="K27" i="1"/>
  <c r="K7" i="1"/>
  <c r="K19" i="1"/>
  <c r="K6" i="1"/>
  <c r="K15" i="1"/>
</calcChain>
</file>

<file path=xl/sharedStrings.xml><?xml version="1.0" encoding="utf-8"?>
<sst xmlns="http://schemas.openxmlformats.org/spreadsheetml/2006/main" count="272" uniqueCount="154">
  <si>
    <t>Player</t>
  </si>
  <si>
    <t>Season</t>
  </si>
  <si>
    <t>Salary</t>
  </si>
  <si>
    <t>GP</t>
  </si>
  <si>
    <t>MPG</t>
  </si>
  <si>
    <t>BPM per $1M</t>
  </si>
  <si>
    <t>BPM</t>
  </si>
  <si>
    <t>USG%</t>
  </si>
  <si>
    <t>Team</t>
  </si>
  <si>
    <t>Position</t>
  </si>
  <si>
    <t>Age</t>
  </si>
  <si>
    <t>Salary Tier</t>
  </si>
  <si>
    <t>Salary % of Cap</t>
  </si>
  <si>
    <t>PPG</t>
  </si>
  <si>
    <t>RPG</t>
  </si>
  <si>
    <t>APG</t>
  </si>
  <si>
    <t>PPG per 100</t>
  </si>
  <si>
    <t>TS%</t>
  </si>
  <si>
    <t>3P%</t>
  </si>
  <si>
    <t>3PAr</t>
  </si>
  <si>
    <t>FTR</t>
  </si>
  <si>
    <t>TOV%</t>
  </si>
  <si>
    <t>AST%</t>
  </si>
  <si>
    <t>ORB%</t>
  </si>
  <si>
    <t>DRB%</t>
  </si>
  <si>
    <t>TRB%</t>
  </si>
  <si>
    <t>STL%</t>
  </si>
  <si>
    <t>BLK%</t>
  </si>
  <si>
    <t>OWS</t>
  </si>
  <si>
    <t>DWS</t>
  </si>
  <si>
    <t>WS</t>
  </si>
  <si>
    <t>VORP</t>
  </si>
  <si>
    <t>VORP per $1M</t>
  </si>
  <si>
    <t>Cade Cunningham</t>
  </si>
  <si>
    <t>2025-26</t>
  </si>
  <si>
    <t>Detroit Pistons</t>
  </si>
  <si>
    <t>PG</t>
  </si>
  <si>
    <t>Role</t>
  </si>
  <si>
    <t>Minimum</t>
  </si>
  <si>
    <t>Low-Cost Rotation</t>
  </si>
  <si>
    <t>Mid-Level Value</t>
  </si>
  <si>
    <t>Starter / Core</t>
  </si>
  <si>
    <t>Near Max</t>
  </si>
  <si>
    <t>Max Contract</t>
  </si>
  <si>
    <t>End-of-Rotation / Developmental</t>
  </si>
  <si>
    <t>Bench / Role Player</t>
  </si>
  <si>
    <t>High-End Role / Starter</t>
  </si>
  <si>
    <t>Solid Starter</t>
  </si>
  <si>
    <t>Fringe All-Star</t>
  </si>
  <si>
    <t>Franchise Player</t>
  </si>
  <si>
    <t>Shai Gilgeous-Alexander</t>
  </si>
  <si>
    <t>2024-25</t>
  </si>
  <si>
    <t>Oklahoma City Thunder</t>
  </si>
  <si>
    <t>Year</t>
  </si>
  <si>
    <t>Salary Cap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</si>
  <si>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</si>
  <si>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</si>
  <si>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</si>
  <si>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</si>
  <si>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</si>
  <si>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</si>
  <si>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</si>
  <si>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</si>
  <si>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</si>
  <si>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</si>
  <si>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</si>
  <si>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</si>
  <si>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</si>
  <si>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</si>
  <si>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</si>
  <si>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</si>
  <si>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</si>
  <si>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</si>
  <si>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</si>
  <si>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</si>
  <si>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</si>
  <si>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</si>
  <si>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</si>
  <si>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</si>
  <si>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</si>
  <si>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</si>
  <si>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</si>
  <si>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</si>
  <si>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</si>
  <si>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</si>
  <si>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</si>
  <si>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</si>
  <si>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</si>
  <si>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</si>
  <si>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</si>
  <si>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</si>
  <si>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</si>
  <si>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</si>
  <si>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</si>
  <si>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</si>
  <si>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Sheet</t>
  </si>
  <si>
    <t>URL</t>
  </si>
  <si>
    <t>https://www.basketball-reference.com/contracts/salary-cap-history.html</t>
  </si>
  <si>
    <t>https://www.basketball-reference.com/players/c/cunnica01.html</t>
  </si>
  <si>
    <t>https://www.basketball-reference.com/players/g/gilgesh01.html</t>
  </si>
  <si>
    <t>Stephen Curry</t>
  </si>
  <si>
    <t>Golden State Warriors</t>
  </si>
  <si>
    <t>https://www.basketball-reference.com/players/c/curryst01.html</t>
  </si>
  <si>
    <t>Jalen Duren</t>
  </si>
  <si>
    <t>C</t>
  </si>
  <si>
    <t>Jaden Ivey</t>
  </si>
  <si>
    <t>SG</t>
  </si>
  <si>
    <t>Play Level Tier</t>
  </si>
  <si>
    <t>Jarrett Allen</t>
  </si>
  <si>
    <t>Cleveland Cavaliers</t>
  </si>
  <si>
    <t>Clint Capela</t>
  </si>
  <si>
    <t>Houston Rockets</t>
  </si>
  <si>
    <t>Walker Kessler</t>
  </si>
  <si>
    <t>Utah Jazz</t>
  </si>
  <si>
    <t>Collin Sexton</t>
  </si>
  <si>
    <t>Jordan Poole</t>
  </si>
  <si>
    <t>De'Aaron Fox</t>
  </si>
  <si>
    <t>Sacramento Kings</t>
  </si>
  <si>
    <t>Ivica Zubac</t>
  </si>
  <si>
    <t>Los Angeles Clippers</t>
  </si>
  <si>
    <t>FT%</t>
  </si>
  <si>
    <t>NA</t>
  </si>
  <si>
    <t>Jalen Brunson</t>
  </si>
  <si>
    <t>New York Knicks</t>
  </si>
  <si>
    <t>Jamal Murray</t>
  </si>
  <si>
    <t>Trae Young</t>
  </si>
  <si>
    <t>Denver Nuggets</t>
  </si>
  <si>
    <t>WS per $1M</t>
  </si>
  <si>
    <t>San Antonio Spurs</t>
  </si>
  <si>
    <t>Evan Mobley</t>
  </si>
  <si>
    <t>Ausar Thompson</t>
  </si>
  <si>
    <t>Victor Wembanyama</t>
  </si>
  <si>
    <t>Amen Thompson</t>
  </si>
  <si>
    <t>Tobias Harris</t>
  </si>
  <si>
    <t>Scottie Barnes</t>
  </si>
  <si>
    <t>Jalen Johnson</t>
  </si>
  <si>
    <t>Atlanta Hawks</t>
  </si>
  <si>
    <t>PF</t>
  </si>
  <si>
    <t>SF</t>
  </si>
  <si>
    <t>Toronto Raptors</t>
  </si>
  <si>
    <t>Nikola Jokic</t>
  </si>
  <si>
    <t>Luka Doncic</t>
  </si>
  <si>
    <t>Los Angeles Lakers</t>
  </si>
  <si>
    <t>% of Cap Upper</t>
  </si>
  <si>
    <t>% of Cap Lower</t>
  </si>
  <si>
    <t>BPM Range Lower</t>
  </si>
  <si>
    <t>BPM Range Upper</t>
  </si>
  <si>
    <t>Interpretation</t>
  </si>
  <si>
    <t>Replacement-Level / Situational Player</t>
  </si>
  <si>
    <t>Rotation-Level Contributor</t>
  </si>
  <si>
    <t>Solid Starter / Top Role-Player</t>
  </si>
  <si>
    <t>High-End Starter</t>
  </si>
  <si>
    <t>All-NBA / Clear All-Star</t>
  </si>
  <si>
    <t>MVP / Franchise Cornerstone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</si>
</sst>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8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3"/>
    <xf numFmtId="6" fontId="2" fillId="0" borderId="0" xfId="0" applyNumberFormat="1" applyFont="1"/>
    <xf numFmtId="0" fontId="4" fillId="0" borderId="0" xfId="0" applyFont="1"/>
    <xf numFmtId="44" fontId="4" fillId="0" borderId="0" xfId="1" applyFont="1"/>
    <xf numFmtId="10" fontId="4" fillId="0" borderId="0" xfId="2" applyNumberFormat="1" applyFont="1"/>
    <xf numFmtId="168" fontId="4" fillId="0" borderId="0" xfId="2" applyNumberFormat="1" applyFont="1"/>
    <xf numFmtId="0" fontId="4" fillId="0" borderId="0" xfId="2" applyNumberFormat="1" applyFont="1"/>
    <xf numFmtId="44" fontId="5" fillId="0" borderId="0" xfId="1" applyFont="1"/>
    <xf numFmtId="2" fontId="4" fillId="0" borderId="0" xfId="0" applyNumberFormat="1" applyFont="1"/>
    <xf numFmtId="2" fontId="4" fillId="0" borderId="0" xfId="2" applyNumberFormat="1" applyFo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leagues/NBA_1997.html" TargetMode="External"/><Relationship Id="rId18" Type="http://schemas.openxmlformats.org/officeDocument/2006/relationships/hyperlink" Target="https://www.basketball-reference.com/leagues/NBA_2002.html" TargetMode="External"/><Relationship Id="rId26" Type="http://schemas.openxmlformats.org/officeDocument/2006/relationships/hyperlink" Target="https://www.basketball-reference.com/leagues/NBA_2010.html" TargetMode="External"/><Relationship Id="rId39" Type="http://schemas.openxmlformats.org/officeDocument/2006/relationships/hyperlink" Target="https://www.basketball-reference.com/leagues/NBA_2023.html" TargetMode="External"/><Relationship Id="rId21" Type="http://schemas.openxmlformats.org/officeDocument/2006/relationships/hyperlink" Target="https://www.basketball-reference.com/leagues/NBA_2005.html" TargetMode="External"/><Relationship Id="rId34" Type="http://schemas.openxmlformats.org/officeDocument/2006/relationships/hyperlink" Target="https://www.basketball-reference.com/leagues/NBA_2018.html" TargetMode="External"/><Relationship Id="rId42" Type="http://schemas.openxmlformats.org/officeDocument/2006/relationships/hyperlink" Target="https://www.basketball-reference.com/leagues/NBA_2026.html" TargetMode="External"/><Relationship Id="rId7" Type="http://schemas.openxmlformats.org/officeDocument/2006/relationships/hyperlink" Target="https://www.basketball-reference.com/leagues/NBA_1991.html" TargetMode="External"/><Relationship Id="rId2" Type="http://schemas.openxmlformats.org/officeDocument/2006/relationships/hyperlink" Target="https://www.basketball-reference.com/leagues/NBA_1986.html" TargetMode="External"/><Relationship Id="rId16" Type="http://schemas.openxmlformats.org/officeDocument/2006/relationships/hyperlink" Target="https://www.basketball-reference.com/leagues/NBA_2000.html" TargetMode="External"/><Relationship Id="rId20" Type="http://schemas.openxmlformats.org/officeDocument/2006/relationships/hyperlink" Target="https://www.basketball-reference.com/leagues/NBA_2004.html" TargetMode="External"/><Relationship Id="rId29" Type="http://schemas.openxmlformats.org/officeDocument/2006/relationships/hyperlink" Target="https://www.basketball-reference.com/leagues/NBA_2013.html" TargetMode="External"/><Relationship Id="rId41" Type="http://schemas.openxmlformats.org/officeDocument/2006/relationships/hyperlink" Target="https://www.basketball-reference.com/leagues/NBA_2025.html" TargetMode="External"/><Relationship Id="rId1" Type="http://schemas.openxmlformats.org/officeDocument/2006/relationships/hyperlink" Target="https://www.basketball-reference.com/leagues/NBA_1985.html" TargetMode="External"/><Relationship Id="rId6" Type="http://schemas.openxmlformats.org/officeDocument/2006/relationships/hyperlink" Target="https://www.basketball-reference.com/leagues/NBA_1990.html" TargetMode="External"/><Relationship Id="rId11" Type="http://schemas.openxmlformats.org/officeDocument/2006/relationships/hyperlink" Target="https://www.basketball-reference.com/leagues/NBA_1995.html" TargetMode="External"/><Relationship Id="rId24" Type="http://schemas.openxmlformats.org/officeDocument/2006/relationships/hyperlink" Target="https://www.basketball-reference.com/leagues/NBA_2008.html" TargetMode="External"/><Relationship Id="rId32" Type="http://schemas.openxmlformats.org/officeDocument/2006/relationships/hyperlink" Target="https://www.basketball-reference.com/leagues/NBA_2016.html" TargetMode="External"/><Relationship Id="rId37" Type="http://schemas.openxmlformats.org/officeDocument/2006/relationships/hyperlink" Target="https://www.basketball-reference.com/leagues/NBA_2021.html" TargetMode="External"/><Relationship Id="rId40" Type="http://schemas.openxmlformats.org/officeDocument/2006/relationships/hyperlink" Target="https://www.basketball-reference.com/leagues/NBA_2024.html" TargetMode="External"/><Relationship Id="rId5" Type="http://schemas.openxmlformats.org/officeDocument/2006/relationships/hyperlink" Target="https://www.basketball-reference.com/leagues/NBA_1989.html" TargetMode="External"/><Relationship Id="rId15" Type="http://schemas.openxmlformats.org/officeDocument/2006/relationships/hyperlink" Target="https://www.basketball-reference.com/leagues/NBA_1999.html" TargetMode="External"/><Relationship Id="rId23" Type="http://schemas.openxmlformats.org/officeDocument/2006/relationships/hyperlink" Target="https://www.basketball-reference.com/leagues/NBA_2007.html" TargetMode="External"/><Relationship Id="rId28" Type="http://schemas.openxmlformats.org/officeDocument/2006/relationships/hyperlink" Target="https://www.basketball-reference.com/leagues/NBA_2012.html" TargetMode="External"/><Relationship Id="rId36" Type="http://schemas.openxmlformats.org/officeDocument/2006/relationships/hyperlink" Target="https://www.basketball-reference.com/leagues/NBA_2020.html" TargetMode="External"/><Relationship Id="rId10" Type="http://schemas.openxmlformats.org/officeDocument/2006/relationships/hyperlink" Target="https://www.basketball-reference.com/leagues/NBA_1994.html" TargetMode="External"/><Relationship Id="rId19" Type="http://schemas.openxmlformats.org/officeDocument/2006/relationships/hyperlink" Target="https://www.basketball-reference.com/leagues/NBA_2003.html" TargetMode="External"/><Relationship Id="rId31" Type="http://schemas.openxmlformats.org/officeDocument/2006/relationships/hyperlink" Target="https://www.basketball-reference.com/leagues/NBA_2015.html" TargetMode="External"/><Relationship Id="rId4" Type="http://schemas.openxmlformats.org/officeDocument/2006/relationships/hyperlink" Target="https://www.basketball-reference.com/leagues/NBA_1988.html" TargetMode="External"/><Relationship Id="rId9" Type="http://schemas.openxmlformats.org/officeDocument/2006/relationships/hyperlink" Target="https://www.basketball-reference.com/leagues/NBA_1993.html" TargetMode="External"/><Relationship Id="rId14" Type="http://schemas.openxmlformats.org/officeDocument/2006/relationships/hyperlink" Target="https://www.basketball-reference.com/leagues/NBA_1998.html" TargetMode="External"/><Relationship Id="rId22" Type="http://schemas.openxmlformats.org/officeDocument/2006/relationships/hyperlink" Target="https://www.basketball-reference.com/leagues/NBA_2006.html" TargetMode="External"/><Relationship Id="rId27" Type="http://schemas.openxmlformats.org/officeDocument/2006/relationships/hyperlink" Target="https://www.basketball-reference.com/leagues/NBA_2011.html" TargetMode="External"/><Relationship Id="rId30" Type="http://schemas.openxmlformats.org/officeDocument/2006/relationships/hyperlink" Target="https://www.basketball-reference.com/leagues/NBA_2014.html" TargetMode="External"/><Relationship Id="rId35" Type="http://schemas.openxmlformats.org/officeDocument/2006/relationships/hyperlink" Target="https://www.basketball-reference.com/leagues/NBA_2019.html" TargetMode="External"/><Relationship Id="rId8" Type="http://schemas.openxmlformats.org/officeDocument/2006/relationships/hyperlink" Target="https://www.basketball-reference.com/leagues/NBA_1992.html" TargetMode="External"/><Relationship Id="rId3" Type="http://schemas.openxmlformats.org/officeDocument/2006/relationships/hyperlink" Target="https://www.basketball-reference.com/leagues/NBA_1987.html" TargetMode="External"/><Relationship Id="rId12" Type="http://schemas.openxmlformats.org/officeDocument/2006/relationships/hyperlink" Target="https://www.basketball-reference.com/leagues/NBA_1996.html" TargetMode="External"/><Relationship Id="rId17" Type="http://schemas.openxmlformats.org/officeDocument/2006/relationships/hyperlink" Target="https://www.basketball-reference.com/leagues/NBA_2001.html" TargetMode="External"/><Relationship Id="rId25" Type="http://schemas.openxmlformats.org/officeDocument/2006/relationships/hyperlink" Target="https://www.basketball-reference.com/leagues/NBA_2009.html" TargetMode="External"/><Relationship Id="rId33" Type="http://schemas.openxmlformats.org/officeDocument/2006/relationships/hyperlink" Target="https://www.basketball-reference.com/leagues/NBA_2017.html" TargetMode="External"/><Relationship Id="rId38" Type="http://schemas.openxmlformats.org/officeDocument/2006/relationships/hyperlink" Target="https://www.basketball-reference.com/leagues/NBA_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9A5B-02ED-534C-8B00-21D2B0C07B80}">
  <dimension ref="A1:AJ38"/>
  <sheetViews>
    <sheetView tabSelected="1" workbookViewId="0">
      <pane ySplit="1" topLeftCell="A2" activePane="bottomLeft" state="frozen"/>
      <selection activeCell="J1" sqref="J1"/>
      <selection pane="bottomLeft" activeCell="N4" sqref="N4"/>
    </sheetView>
  </sheetViews>
  <sheetFormatPr baseColWidth="10" defaultRowHeight="16" x14ac:dyDescent="0.2"/>
  <cols>
    <col min="1" max="1" width="20.83203125" style="3" bestFit="1" customWidth="1"/>
    <col min="2" max="2" width="9.5" style="3" bestFit="1" customWidth="1"/>
    <col min="3" max="3" width="20" style="3" bestFit="1" customWidth="1"/>
    <col min="4" max="4" width="10.1640625" style="3" bestFit="1" customWidth="1"/>
    <col min="5" max="5" width="6.5" style="3" bestFit="1" customWidth="1"/>
    <col min="6" max="6" width="6" style="3" bestFit="1" customWidth="1"/>
    <col min="7" max="7" width="7.5" style="3" bestFit="1" customWidth="1"/>
    <col min="8" max="8" width="15" style="4" bestFit="1" customWidth="1"/>
    <col min="9" max="9" width="19.6640625" style="3" bestFit="1" customWidth="1"/>
    <col min="10" max="10" width="14.83203125" style="3" bestFit="1" customWidth="1"/>
    <col min="11" max="11" width="16" style="5" bestFit="1" customWidth="1"/>
    <col min="12" max="12" width="13.1640625" style="9" bestFit="1" customWidth="1"/>
    <col min="13" max="13" width="15" style="9" bestFit="1" customWidth="1"/>
    <col min="14" max="14" width="14.1640625" style="9" bestFit="1" customWidth="1"/>
    <col min="15" max="15" width="7" style="3" bestFit="1" customWidth="1"/>
    <col min="16" max="16" width="7.1640625" style="3" bestFit="1" customWidth="1"/>
    <col min="17" max="17" width="7" style="3" bestFit="1" customWidth="1"/>
    <col min="18" max="18" width="13.33203125" style="3" bestFit="1" customWidth="1"/>
    <col min="19" max="20" width="7.1640625" style="6" bestFit="1" customWidth="1"/>
    <col min="21" max="21" width="7.33203125" style="6" bestFit="1" customWidth="1"/>
    <col min="22" max="22" width="6.6640625" style="6" bestFit="1" customWidth="1"/>
    <col min="23" max="23" width="7" style="6" bestFit="1" customWidth="1"/>
    <col min="24" max="24" width="8.33203125" style="6" bestFit="1" customWidth="1"/>
    <col min="25" max="25" width="8.6640625" style="6" bestFit="1" customWidth="1"/>
    <col min="26" max="26" width="8" style="6" bestFit="1" customWidth="1"/>
    <col min="27" max="28" width="8.83203125" style="6" bestFit="1" customWidth="1"/>
    <col min="29" max="29" width="8.33203125" style="6" bestFit="1" customWidth="1"/>
    <col min="30" max="30" width="7.83203125" style="6" bestFit="1" customWidth="1"/>
    <col min="31" max="31" width="8.1640625" style="6" bestFit="1" customWidth="1"/>
    <col min="32" max="33" width="7.6640625" style="7" bestFit="1" customWidth="1"/>
    <col min="34" max="34" width="6.33203125" style="7" bestFit="1" customWidth="1"/>
    <col min="35" max="35" width="7.33203125" style="7" bestFit="1" customWidth="1"/>
    <col min="36" max="36" width="8.1640625" style="7" bestFit="1" customWidth="1"/>
    <col min="37" max="16384" width="10.83203125" style="3"/>
  </cols>
  <sheetData>
    <row r="1" spans="1:36" x14ac:dyDescent="0.2">
      <c r="A1" s="3" t="s">
        <v>0</v>
      </c>
      <c r="B1" s="3" t="s">
        <v>1</v>
      </c>
      <c r="C1" s="3" t="s">
        <v>8</v>
      </c>
      <c r="D1" s="3" t="s">
        <v>9</v>
      </c>
      <c r="E1" s="3" t="s">
        <v>10</v>
      </c>
      <c r="F1" s="3" t="s">
        <v>3</v>
      </c>
      <c r="G1" s="3" t="s">
        <v>4</v>
      </c>
      <c r="H1" s="4" t="s">
        <v>2</v>
      </c>
      <c r="I1" s="3" t="s">
        <v>11</v>
      </c>
      <c r="J1" s="3" t="s">
        <v>107</v>
      </c>
      <c r="K1" s="5" t="s">
        <v>12</v>
      </c>
      <c r="L1" s="9" t="s">
        <v>127</v>
      </c>
      <c r="M1" s="3" t="s">
        <v>32</v>
      </c>
      <c r="N1" s="3" t="s">
        <v>5</v>
      </c>
      <c r="O1" s="3" t="s">
        <v>13</v>
      </c>
      <c r="P1" s="3" t="s">
        <v>14</v>
      </c>
      <c r="Q1" s="3" t="s">
        <v>15</v>
      </c>
      <c r="R1" s="3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120</v>
      </c>
      <c r="X1" s="6" t="s">
        <v>21</v>
      </c>
      <c r="Y1" s="6" t="s">
        <v>7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7" t="s">
        <v>28</v>
      </c>
      <c r="AG1" s="7" t="s">
        <v>29</v>
      </c>
      <c r="AH1" s="7" t="s">
        <v>30</v>
      </c>
      <c r="AI1" s="7" t="s">
        <v>6</v>
      </c>
      <c r="AJ1" s="7" t="s">
        <v>31</v>
      </c>
    </row>
    <row r="2" spans="1:36" x14ac:dyDescent="0.2">
      <c r="A2" s="3" t="s">
        <v>125</v>
      </c>
      <c r="B2" s="3" t="s">
        <v>90</v>
      </c>
      <c r="C2" s="3" t="s">
        <v>136</v>
      </c>
      <c r="D2" s="3" t="s">
        <v>36</v>
      </c>
      <c r="E2" s="3">
        <v>21</v>
      </c>
      <c r="F2" s="3">
        <v>81</v>
      </c>
      <c r="G2" s="3">
        <v>30.9</v>
      </c>
      <c r="H2" s="4">
        <v>6273000</v>
      </c>
      <c r="I2" t="s">
        <v>39</v>
      </c>
      <c r="K2" s="5">
        <f>H2/'Salary Cap'!B37</f>
        <v>5.7476635514018694E-2</v>
      </c>
      <c r="L2" s="9">
        <f>AH2/(H2/1000000)</f>
        <v>0.94053881715287746</v>
      </c>
      <c r="M2" s="9">
        <f>AJ2/(H2/1000000)</f>
        <v>0.49418141240235935</v>
      </c>
      <c r="N2" s="9">
        <f>AI2/(H2/1000000)</f>
        <v>0.62171209947393591</v>
      </c>
      <c r="O2" s="3">
        <v>29.6</v>
      </c>
      <c r="P2" s="3">
        <v>4.3</v>
      </c>
      <c r="Q2" s="3">
        <v>9.3000000000000007</v>
      </c>
      <c r="R2" s="3">
        <v>39.1</v>
      </c>
      <c r="S2" s="6">
        <v>0.59499999999999997</v>
      </c>
      <c r="T2" s="6">
        <v>0.36099999999999999</v>
      </c>
      <c r="U2" s="6">
        <v>0.45500000000000002</v>
      </c>
      <c r="V2" s="6">
        <v>0.44800000000000001</v>
      </c>
      <c r="W2" s="6">
        <v>0.86</v>
      </c>
      <c r="X2" s="6">
        <v>0.16200000000000001</v>
      </c>
      <c r="Y2" s="6">
        <v>0.34899999999999998</v>
      </c>
      <c r="Z2" s="6">
        <v>0.45600000000000002</v>
      </c>
      <c r="AA2" s="6">
        <v>1.6E-2</v>
      </c>
      <c r="AB2" s="6">
        <v>0.115</v>
      </c>
      <c r="AC2" s="6">
        <v>6.5000000000000002E-2</v>
      </c>
      <c r="AD2" s="6">
        <v>1.4E-2</v>
      </c>
      <c r="AE2" s="6">
        <v>3.0000000000000001E-3</v>
      </c>
      <c r="AF2" s="7">
        <v>5.3</v>
      </c>
      <c r="AG2" s="7">
        <v>0.6</v>
      </c>
      <c r="AH2" s="7">
        <v>5.9</v>
      </c>
      <c r="AI2" s="7">
        <v>3.9</v>
      </c>
      <c r="AJ2" s="7">
        <v>3.1</v>
      </c>
    </row>
    <row r="3" spans="1:36" x14ac:dyDescent="0.2">
      <c r="A3" s="3" t="s">
        <v>112</v>
      </c>
      <c r="B3" s="3" t="s">
        <v>51</v>
      </c>
      <c r="C3" s="3" t="s">
        <v>113</v>
      </c>
      <c r="D3" s="3" t="s">
        <v>104</v>
      </c>
      <c r="E3" s="3">
        <v>23</v>
      </c>
      <c r="F3" s="3">
        <v>58</v>
      </c>
      <c r="G3" s="3">
        <v>58</v>
      </c>
      <c r="H3" s="4">
        <v>2965920</v>
      </c>
      <c r="I3" t="s">
        <v>38</v>
      </c>
      <c r="J3" s="3" t="s">
        <v>121</v>
      </c>
      <c r="K3" s="5">
        <f>H3/'Salary Cap'!B42</f>
        <v>2.1096537400062593E-2</v>
      </c>
      <c r="L3" s="10">
        <f>AH3/(H3/1000000)</f>
        <v>1.8206829584075093</v>
      </c>
      <c r="M3" s="10">
        <f>AJ3/(H3/1000000)</f>
        <v>0.5731779683875492</v>
      </c>
      <c r="N3" s="10">
        <f>AI3/(H3/1000000)</f>
        <v>0.60689431946916972</v>
      </c>
      <c r="O3" s="3">
        <v>11.1</v>
      </c>
      <c r="P3" s="3">
        <v>12.2</v>
      </c>
      <c r="Q3" s="3">
        <v>1.7</v>
      </c>
      <c r="R3" s="3">
        <v>17.7</v>
      </c>
      <c r="S3" s="6">
        <v>0.66</v>
      </c>
      <c r="T3" s="6">
        <v>0.17599999999999999</v>
      </c>
      <c r="U3" s="6">
        <v>8.1000000000000003E-2</v>
      </c>
      <c r="V3" s="6">
        <v>0.36299999999999999</v>
      </c>
      <c r="W3" s="6">
        <v>0.52</v>
      </c>
      <c r="X3" s="6">
        <v>0.15</v>
      </c>
      <c r="Y3" s="6">
        <v>0.13700000000000001</v>
      </c>
      <c r="Z3" s="6">
        <v>8.3000000000000004E-2</v>
      </c>
      <c r="AA3" s="6">
        <v>0.16600000000000001</v>
      </c>
      <c r="AB3" s="6">
        <v>0.27100000000000002</v>
      </c>
      <c r="AC3" s="6">
        <v>0.219</v>
      </c>
      <c r="AD3" s="6">
        <v>0.01</v>
      </c>
      <c r="AE3" s="6">
        <v>7.3999999999999996E-2</v>
      </c>
      <c r="AF3" s="7">
        <v>3.6</v>
      </c>
      <c r="AG3" s="7">
        <v>1.8</v>
      </c>
      <c r="AH3" s="7">
        <v>5.4</v>
      </c>
      <c r="AI3" s="7">
        <v>1.8</v>
      </c>
      <c r="AJ3" s="7">
        <v>1.7</v>
      </c>
    </row>
    <row r="4" spans="1:36" x14ac:dyDescent="0.2">
      <c r="A4" s="3" t="s">
        <v>131</v>
      </c>
      <c r="B4" s="3" t="s">
        <v>34</v>
      </c>
      <c r="C4" s="3" t="s">
        <v>128</v>
      </c>
      <c r="D4" s="3" t="s">
        <v>104</v>
      </c>
      <c r="E4" s="3">
        <v>22</v>
      </c>
      <c r="F4" s="3">
        <v>16</v>
      </c>
      <c r="G4" s="3">
        <v>31.1</v>
      </c>
      <c r="H4" s="4">
        <v>13376880</v>
      </c>
      <c r="I4" t="s">
        <v>40</v>
      </c>
      <c r="K4" s="5">
        <f>H4/'Salary Cap'!B43</f>
        <v>8.6499447127975318E-2</v>
      </c>
      <c r="L4" s="9">
        <f>AH4/(H4/1000000)</f>
        <v>0.15698727954500602</v>
      </c>
      <c r="M4" s="9">
        <f>AJ4/(H4/1000000)</f>
        <v>8.9707016882860577E-2</v>
      </c>
      <c r="N4" s="9">
        <f>AI4/(H4/1000000)</f>
        <v>0.59057119447883222</v>
      </c>
      <c r="O4" s="3">
        <v>24.4</v>
      </c>
      <c r="P4" s="3">
        <v>12.3</v>
      </c>
      <c r="Q4" s="3">
        <v>3.7</v>
      </c>
      <c r="R4" s="3">
        <v>37.6</v>
      </c>
      <c r="S4" s="6">
        <v>0.61399999999999999</v>
      </c>
      <c r="T4" s="6">
        <v>0.34799999999999998</v>
      </c>
      <c r="U4" s="6">
        <v>0.255</v>
      </c>
      <c r="V4" s="6">
        <v>0.39900000000000002</v>
      </c>
      <c r="W4" s="6">
        <v>0.82399999999999995</v>
      </c>
      <c r="X4" s="6">
        <v>0.14499999999999999</v>
      </c>
      <c r="Y4" s="6">
        <v>0.314</v>
      </c>
      <c r="Z4" s="6">
        <v>0.19400000000000001</v>
      </c>
      <c r="AA4" s="6">
        <v>7.2999999999999995E-2</v>
      </c>
      <c r="AB4" s="6">
        <v>0.35499999999999998</v>
      </c>
      <c r="AC4" s="6">
        <v>0.216</v>
      </c>
      <c r="AD4" s="6">
        <v>1.4E-2</v>
      </c>
      <c r="AE4" s="6">
        <v>9.5000000000000001E-2</v>
      </c>
      <c r="AF4" s="7">
        <v>0.8</v>
      </c>
      <c r="AG4" s="7">
        <v>1.2</v>
      </c>
      <c r="AH4" s="7">
        <v>2.1</v>
      </c>
      <c r="AI4" s="7">
        <v>7.9</v>
      </c>
      <c r="AJ4" s="7">
        <v>1.2</v>
      </c>
    </row>
    <row r="5" spans="1:36" x14ac:dyDescent="0.2">
      <c r="A5" s="3" t="s">
        <v>115</v>
      </c>
      <c r="B5" s="3" t="s">
        <v>92</v>
      </c>
      <c r="C5" s="3" t="s">
        <v>101</v>
      </c>
      <c r="D5" s="3" t="s">
        <v>106</v>
      </c>
      <c r="E5" s="3">
        <v>22</v>
      </c>
      <c r="F5" s="3">
        <v>76</v>
      </c>
      <c r="G5" s="3">
        <v>30</v>
      </c>
      <c r="H5" s="4">
        <v>2161440</v>
      </c>
      <c r="I5" t="s">
        <v>38</v>
      </c>
      <c r="J5" s="3" t="s">
        <v>121</v>
      </c>
      <c r="K5" s="5">
        <f>H5/'Salary Cap'!B39</f>
        <v>1.9227498354297507E-2</v>
      </c>
      <c r="L5" s="10">
        <f>AH5/(H5/1000000)</f>
        <v>2.7759271596713306</v>
      </c>
      <c r="M5" s="10">
        <f>AJ5/(H5/1000000)</f>
        <v>0.78651269524021028</v>
      </c>
      <c r="N5" s="10">
        <f>AI5/(H5/1000000)</f>
        <v>0.46265452661188844</v>
      </c>
      <c r="O5" s="3">
        <v>18.5</v>
      </c>
      <c r="P5" s="3">
        <v>3.4</v>
      </c>
      <c r="Q5" s="3">
        <v>4</v>
      </c>
      <c r="R5" s="3">
        <v>30</v>
      </c>
      <c r="S5" s="6">
        <v>0.59799999999999998</v>
      </c>
      <c r="T5" s="6">
        <v>0.36399999999999999</v>
      </c>
      <c r="U5" s="6">
        <v>0.54800000000000004</v>
      </c>
      <c r="V5" s="6">
        <v>0.251</v>
      </c>
      <c r="W5" s="6">
        <v>0.92500000000000004</v>
      </c>
      <c r="X5" s="6">
        <v>0.13700000000000001</v>
      </c>
      <c r="Y5" s="6">
        <v>0.26</v>
      </c>
      <c r="Z5" s="6">
        <v>0.21</v>
      </c>
      <c r="AA5" s="6">
        <v>1.7000000000000001E-2</v>
      </c>
      <c r="AB5" s="6">
        <v>0.105</v>
      </c>
      <c r="AC5" s="6">
        <v>6.2E-2</v>
      </c>
      <c r="AD5" s="6">
        <v>1.2999999999999999E-2</v>
      </c>
      <c r="AE5" s="6">
        <v>0.01</v>
      </c>
      <c r="AF5" s="7">
        <v>1.3</v>
      </c>
      <c r="AG5" s="7">
        <v>-0.3</v>
      </c>
      <c r="AH5" s="7">
        <v>6</v>
      </c>
      <c r="AI5" s="7">
        <v>1</v>
      </c>
      <c r="AJ5" s="7">
        <v>1.7</v>
      </c>
    </row>
    <row r="6" spans="1:36" x14ac:dyDescent="0.2">
      <c r="A6" s="3" t="s">
        <v>103</v>
      </c>
      <c r="B6" s="3" t="s">
        <v>34</v>
      </c>
      <c r="C6" s="3" t="s">
        <v>35</v>
      </c>
      <c r="D6" s="3" t="s">
        <v>104</v>
      </c>
      <c r="E6" s="3">
        <v>22</v>
      </c>
      <c r="F6" s="3">
        <v>25</v>
      </c>
      <c r="G6" s="3">
        <v>29</v>
      </c>
      <c r="H6" s="4">
        <v>6483144</v>
      </c>
      <c r="I6" t="s">
        <v>39</v>
      </c>
      <c r="J6" s="3" t="s">
        <v>121</v>
      </c>
      <c r="K6" s="5">
        <f>H6/'Salary Cap'!B43</f>
        <v>4.1922209936177228E-2</v>
      </c>
      <c r="L6" s="10">
        <f>AH6/(H6/1000000)</f>
        <v>0.50901229403511628</v>
      </c>
      <c r="M6" s="10">
        <f>AJ6/(H6/1000000)</f>
        <v>0.1233969197660888</v>
      </c>
      <c r="N6" s="10">
        <f>AI6/(H6/1000000)</f>
        <v>0.37019075929826639</v>
      </c>
      <c r="O6" s="3">
        <v>18</v>
      </c>
      <c r="P6" s="3">
        <v>11</v>
      </c>
      <c r="Q6" s="3">
        <v>1.7</v>
      </c>
      <c r="R6" s="3">
        <v>29.6</v>
      </c>
      <c r="S6" s="6">
        <v>0.66700000000000004</v>
      </c>
      <c r="T6" s="6">
        <v>0</v>
      </c>
      <c r="U6" s="6">
        <v>0</v>
      </c>
      <c r="V6" s="6">
        <v>0.55100000000000005</v>
      </c>
      <c r="W6" s="6">
        <v>0.74</v>
      </c>
      <c r="X6" s="6">
        <v>0.14599999999999999</v>
      </c>
      <c r="Y6" s="6">
        <v>0.222</v>
      </c>
      <c r="Z6" s="6">
        <v>0.09</v>
      </c>
      <c r="AA6" s="6">
        <v>0.16</v>
      </c>
      <c r="AB6" s="6">
        <v>0.252</v>
      </c>
      <c r="AC6" s="6">
        <v>0.20699999999999999</v>
      </c>
      <c r="AD6" s="6">
        <v>1.4E-2</v>
      </c>
      <c r="AE6" s="6">
        <v>3.1E-2</v>
      </c>
      <c r="AF6" s="7">
        <v>2</v>
      </c>
      <c r="AG6" s="7">
        <v>1.3</v>
      </c>
      <c r="AH6" s="7">
        <v>3.3</v>
      </c>
      <c r="AI6" s="7">
        <v>2.4</v>
      </c>
      <c r="AJ6" s="7">
        <v>0.8</v>
      </c>
    </row>
    <row r="7" spans="1:36" x14ac:dyDescent="0.2">
      <c r="A7" s="3" t="s">
        <v>50</v>
      </c>
      <c r="B7" s="3" t="s">
        <v>51</v>
      </c>
      <c r="C7" s="3" t="s">
        <v>52</v>
      </c>
      <c r="D7" s="3" t="s">
        <v>36</v>
      </c>
      <c r="E7" s="3">
        <v>26</v>
      </c>
      <c r="F7" s="3">
        <v>76</v>
      </c>
      <c r="G7" s="3">
        <v>34.200000000000003</v>
      </c>
      <c r="H7" s="8">
        <v>35859950</v>
      </c>
      <c r="I7" t="s">
        <v>42</v>
      </c>
      <c r="J7" s="3" t="s">
        <v>43</v>
      </c>
      <c r="K7" s="5">
        <f>H7/'Salary Cap'!B42</f>
        <v>0.25507120095598484</v>
      </c>
      <c r="L7" s="10">
        <f>AH7/(H7/1000000)</f>
        <v>0.46570059355910981</v>
      </c>
      <c r="M7" s="10">
        <f>AJ7/(H7/1000000)</f>
        <v>0.24818774147760944</v>
      </c>
      <c r="N7" s="10">
        <f>AI7/(H7/1000000)</f>
        <v>0.32069202550477621</v>
      </c>
      <c r="O7" s="3">
        <v>32.700000000000003</v>
      </c>
      <c r="P7" s="3">
        <v>5</v>
      </c>
      <c r="Q7" s="3">
        <v>6.4</v>
      </c>
      <c r="R7" s="3">
        <v>45.9</v>
      </c>
      <c r="S7" s="6">
        <v>0.63700000000000001</v>
      </c>
      <c r="T7" s="6">
        <v>0.375</v>
      </c>
      <c r="U7" s="6">
        <v>0.26300000000000001</v>
      </c>
      <c r="V7" s="6">
        <v>0.40400000000000003</v>
      </c>
      <c r="W7" s="6">
        <v>0.89800000000000002</v>
      </c>
      <c r="X7" s="6">
        <v>8.5999999999999993E-2</v>
      </c>
      <c r="Y7" s="6">
        <v>0.34799999999999998</v>
      </c>
      <c r="Z7" s="6">
        <v>0.313</v>
      </c>
      <c r="AA7" s="6">
        <v>2.8000000000000001E-2</v>
      </c>
      <c r="AB7" s="6">
        <v>0.126</v>
      </c>
      <c r="AC7" s="6">
        <v>7.8E-2</v>
      </c>
      <c r="AD7" s="6">
        <v>2.4E-2</v>
      </c>
      <c r="AE7" s="6">
        <v>0.03</v>
      </c>
      <c r="AF7" s="7">
        <v>11.9</v>
      </c>
      <c r="AG7" s="7">
        <v>4.8</v>
      </c>
      <c r="AH7" s="7">
        <v>16.7</v>
      </c>
      <c r="AI7" s="7">
        <v>11.5</v>
      </c>
      <c r="AJ7" s="7">
        <v>8.9</v>
      </c>
    </row>
    <row r="8" spans="1:36" x14ac:dyDescent="0.2">
      <c r="A8" s="3" t="s">
        <v>140</v>
      </c>
      <c r="B8" s="3" t="s">
        <v>34</v>
      </c>
      <c r="C8" s="3" t="s">
        <v>126</v>
      </c>
      <c r="D8" s="3" t="s">
        <v>104</v>
      </c>
      <c r="E8" s="3">
        <v>30</v>
      </c>
      <c r="F8" s="3">
        <v>27</v>
      </c>
      <c r="G8" s="3">
        <v>34.9</v>
      </c>
      <c r="H8" s="4">
        <v>51415938</v>
      </c>
      <c r="I8" t="s">
        <v>43</v>
      </c>
      <c r="K8" s="5">
        <f>H8/'Salary Cap'!B43</f>
        <v>0.33247290927079087</v>
      </c>
      <c r="L8" s="9">
        <f>AH8/(H8/1000000)</f>
        <v>0.14197932166481142</v>
      </c>
      <c r="M8" s="9">
        <f>AJ8/(H8/1000000)</f>
        <v>8.3631655227217674E-2</v>
      </c>
      <c r="N8" s="9">
        <f>AI8/(H8/1000000)</f>
        <v>0.3092426321192468</v>
      </c>
      <c r="O8" s="3">
        <v>29.4</v>
      </c>
      <c r="P8" s="3">
        <v>12.1</v>
      </c>
      <c r="Q8" s="3">
        <v>10.7</v>
      </c>
      <c r="R8" s="3">
        <v>41</v>
      </c>
      <c r="S8" s="6">
        <v>0.70899999999999996</v>
      </c>
      <c r="T8" s="6">
        <v>0.42099999999999999</v>
      </c>
      <c r="U8" s="6">
        <v>0.28100000000000003</v>
      </c>
      <c r="V8" s="6">
        <v>0.41099999999999998</v>
      </c>
      <c r="W8" s="6">
        <v>0.84099999999999997</v>
      </c>
      <c r="X8" s="6">
        <v>0.14599999999999999</v>
      </c>
      <c r="Y8" s="6">
        <v>0.3</v>
      </c>
      <c r="Z8" s="6">
        <v>0.48899999999999999</v>
      </c>
      <c r="AA8" s="6">
        <v>9.9000000000000005E-2</v>
      </c>
      <c r="AB8" s="6">
        <v>0.28499999999999998</v>
      </c>
      <c r="AC8" s="6">
        <v>0.19700000000000001</v>
      </c>
      <c r="AD8" s="6">
        <v>1.9E-2</v>
      </c>
      <c r="AE8" s="6">
        <v>0.02</v>
      </c>
      <c r="AF8" s="7">
        <v>5.9</v>
      </c>
      <c r="AG8" s="7">
        <v>1.4</v>
      </c>
      <c r="AH8" s="7">
        <v>7.3</v>
      </c>
      <c r="AI8" s="7">
        <v>15.9</v>
      </c>
      <c r="AJ8" s="7">
        <v>4.3</v>
      </c>
    </row>
    <row r="9" spans="1:36" x14ac:dyDescent="0.2">
      <c r="A9" s="3" t="s">
        <v>33</v>
      </c>
      <c r="B9" s="3" t="s">
        <v>51</v>
      </c>
      <c r="C9" s="3" t="s">
        <v>35</v>
      </c>
      <c r="D9" s="3" t="s">
        <v>36</v>
      </c>
      <c r="E9" s="3">
        <v>23</v>
      </c>
      <c r="F9" s="3">
        <v>70</v>
      </c>
      <c r="G9" s="3">
        <v>35</v>
      </c>
      <c r="H9" s="4">
        <v>13940809</v>
      </c>
      <c r="I9" t="s">
        <v>40</v>
      </c>
      <c r="K9" s="5">
        <f>H9/'Salary Cap'!B42</f>
        <v>9.9160732068170832E-2</v>
      </c>
      <c r="L9" s="9">
        <f>AH9/(H9/1000000)</f>
        <v>0.4232179065074344</v>
      </c>
      <c r="M9" s="9">
        <f>AJ9/(H9/1000000)</f>
        <v>0.26540783967415377</v>
      </c>
      <c r="N9" s="9">
        <f>AI9/(H9/1000000)</f>
        <v>0.27975420938627021</v>
      </c>
      <c r="O9" s="3">
        <v>26.1</v>
      </c>
      <c r="P9" s="3">
        <v>6.1</v>
      </c>
      <c r="Q9" s="3">
        <v>9.1</v>
      </c>
      <c r="R9" s="3">
        <v>35.9</v>
      </c>
      <c r="S9" s="6">
        <v>0.56499999999999995</v>
      </c>
      <c r="T9" s="6">
        <v>0.35599999999999998</v>
      </c>
      <c r="U9" s="6">
        <v>0.28699999999999998</v>
      </c>
      <c r="V9" s="6">
        <v>0.254</v>
      </c>
      <c r="W9" s="6">
        <v>0.84599999999999997</v>
      </c>
      <c r="X9" s="6">
        <v>0.16</v>
      </c>
      <c r="Y9" s="6">
        <v>0.33200000000000002</v>
      </c>
      <c r="Z9" s="6">
        <v>0.43</v>
      </c>
      <c r="AA9" s="6">
        <v>2.5000000000000001E-2</v>
      </c>
      <c r="AB9" s="6">
        <v>0.16500000000000001</v>
      </c>
      <c r="AC9" s="6">
        <v>0.996</v>
      </c>
      <c r="AD9" s="6">
        <v>1.4E-2</v>
      </c>
      <c r="AE9" s="6">
        <v>2.1000000000000001E-2</v>
      </c>
      <c r="AF9" s="7">
        <v>3</v>
      </c>
      <c r="AG9" s="7">
        <v>2.9</v>
      </c>
      <c r="AH9" s="7">
        <v>5.9</v>
      </c>
      <c r="AI9" s="7">
        <v>3.9</v>
      </c>
      <c r="AJ9" s="7">
        <v>3.7</v>
      </c>
    </row>
    <row r="10" spans="1:36" x14ac:dyDescent="0.2">
      <c r="A10" s="3" t="s">
        <v>140</v>
      </c>
      <c r="B10" s="3" t="s">
        <v>94</v>
      </c>
      <c r="C10" s="3" t="s">
        <v>126</v>
      </c>
      <c r="D10" s="3" t="s">
        <v>104</v>
      </c>
      <c r="E10" s="3">
        <v>28</v>
      </c>
      <c r="F10" s="3">
        <v>79</v>
      </c>
      <c r="G10" s="3">
        <v>34.6</v>
      </c>
      <c r="H10" s="4">
        <v>47607350</v>
      </c>
      <c r="I10" t="s">
        <v>43</v>
      </c>
      <c r="K10" s="5">
        <f>H10/'Salary Cap'!B41</f>
        <v>0.35</v>
      </c>
      <c r="L10" s="9">
        <f>AH10/(H10/1000000)</f>
        <v>0.35708771859807364</v>
      </c>
      <c r="M10" s="9">
        <f>AJ10/(H10/1000000)</f>
        <v>0.22265469512585767</v>
      </c>
      <c r="N10" s="9">
        <f>AI10/(H10/1000000)</f>
        <v>0.27726811091144538</v>
      </c>
      <c r="O10" s="3">
        <v>26.4</v>
      </c>
      <c r="P10" s="3">
        <v>12.4</v>
      </c>
      <c r="Q10" s="3">
        <v>9</v>
      </c>
      <c r="R10" s="3">
        <v>37.799999999999997</v>
      </c>
      <c r="S10" s="6">
        <v>0.65</v>
      </c>
      <c r="T10" s="6">
        <v>0.35899999999999999</v>
      </c>
      <c r="U10" s="6">
        <v>0.16400000000000001</v>
      </c>
      <c r="V10" s="6">
        <v>0.31</v>
      </c>
      <c r="W10" s="6">
        <v>0.81699999999999995</v>
      </c>
      <c r="X10" s="6">
        <v>0.129</v>
      </c>
      <c r="Y10" s="6">
        <v>0.29299999999999998</v>
      </c>
      <c r="Z10" s="6">
        <v>0.42</v>
      </c>
      <c r="AA10" s="6">
        <v>9.2999999999999999E-2</v>
      </c>
      <c r="AB10" s="6">
        <v>0.29599999999999999</v>
      </c>
      <c r="AC10" s="6">
        <v>0.19800000000000001</v>
      </c>
      <c r="AD10" s="6">
        <v>0.02</v>
      </c>
      <c r="AE10" s="6">
        <v>2.1000000000000001E-2</v>
      </c>
      <c r="AF10" s="7">
        <v>12</v>
      </c>
      <c r="AG10" s="7">
        <v>5.0999999999999996</v>
      </c>
      <c r="AH10" s="7">
        <v>17</v>
      </c>
      <c r="AI10" s="7">
        <v>13.2</v>
      </c>
      <c r="AJ10" s="7">
        <v>10.6</v>
      </c>
    </row>
    <row r="11" spans="1:36" x14ac:dyDescent="0.2">
      <c r="A11" s="3" t="s">
        <v>116</v>
      </c>
      <c r="B11" s="3" t="s">
        <v>89</v>
      </c>
      <c r="C11" s="3" t="s">
        <v>117</v>
      </c>
      <c r="D11" s="3" t="s">
        <v>36</v>
      </c>
      <c r="E11" s="3">
        <v>21</v>
      </c>
      <c r="F11" s="3">
        <v>81</v>
      </c>
      <c r="G11" s="3">
        <v>31.4</v>
      </c>
      <c r="H11" s="4">
        <v>5470820</v>
      </c>
      <c r="I11" t="s">
        <v>39</v>
      </c>
      <c r="J11" s="3" t="s">
        <v>121</v>
      </c>
      <c r="K11" s="5">
        <f>H11/'Salary Cap'!B36</f>
        <v>5.3704463575768878E-2</v>
      </c>
      <c r="L11" s="10">
        <f>AH11/(H11/1000000)</f>
        <v>1.0236125480275351</v>
      </c>
      <c r="M11" s="10">
        <f>AJ11/(H11/1000000)</f>
        <v>0.42041229651130907</v>
      </c>
      <c r="N11" s="10">
        <f>AI11/(H11/1000000)</f>
        <v>0.27418193250737549</v>
      </c>
      <c r="O11" s="3">
        <v>17.3</v>
      </c>
      <c r="P11" s="3">
        <v>3.8</v>
      </c>
      <c r="Q11" s="3">
        <v>7.3</v>
      </c>
      <c r="R11" s="3">
        <v>25.6</v>
      </c>
      <c r="S11" s="6">
        <v>0.54400000000000004</v>
      </c>
      <c r="T11" s="6">
        <v>0.371</v>
      </c>
      <c r="U11" s="6">
        <v>0.21099999999999999</v>
      </c>
      <c r="V11" s="6">
        <v>0.378</v>
      </c>
      <c r="W11" s="6">
        <v>0.72699999999999998</v>
      </c>
      <c r="X11" s="6">
        <v>0.15</v>
      </c>
      <c r="Y11" s="6">
        <v>0.245</v>
      </c>
      <c r="Z11" s="6">
        <v>0.33200000000000002</v>
      </c>
      <c r="AA11" s="6">
        <v>1.7000000000000001E-2</v>
      </c>
      <c r="AB11" s="6">
        <v>0.108</v>
      </c>
      <c r="AC11" s="6">
        <v>6.2E-2</v>
      </c>
      <c r="AD11" s="6">
        <v>2.4E-2</v>
      </c>
      <c r="AE11" s="6">
        <v>1.4999999999999999E-2</v>
      </c>
      <c r="AF11" s="7">
        <v>3.2</v>
      </c>
      <c r="AG11" s="7">
        <v>2.5</v>
      </c>
      <c r="AH11" s="7">
        <v>5.6</v>
      </c>
      <c r="AI11" s="7">
        <v>1.5</v>
      </c>
      <c r="AJ11" s="7">
        <v>2.2999999999999998</v>
      </c>
    </row>
    <row r="12" spans="1:36" x14ac:dyDescent="0.2">
      <c r="A12" s="3" t="s">
        <v>118</v>
      </c>
      <c r="B12" s="3" t="s">
        <v>51</v>
      </c>
      <c r="C12" s="3" t="s">
        <v>119</v>
      </c>
      <c r="D12" s="3" t="s">
        <v>104</v>
      </c>
      <c r="E12" s="3">
        <v>27</v>
      </c>
      <c r="F12" s="3">
        <v>80</v>
      </c>
      <c r="G12" s="3">
        <v>80</v>
      </c>
      <c r="H12" s="4">
        <v>11743210</v>
      </c>
      <c r="I12" t="s">
        <v>40</v>
      </c>
      <c r="J12" s="3" t="s">
        <v>121</v>
      </c>
      <c r="K12" s="5">
        <f>H12/'Salary Cap'!B42</f>
        <v>8.3529248584516463E-2</v>
      </c>
      <c r="L12" s="10">
        <f>AH12/(H12/1000000)</f>
        <v>0.99632042686795175</v>
      </c>
      <c r="M12" s="10">
        <f>AJ12/(H12/1000000)</f>
        <v>0.28952901293598599</v>
      </c>
      <c r="N12" s="10">
        <f>AI12/(H12/1000000)</f>
        <v>0.26398233532398724</v>
      </c>
      <c r="O12" s="3">
        <v>16.8</v>
      </c>
      <c r="P12" s="3">
        <v>12.6</v>
      </c>
      <c r="Q12" s="3">
        <v>2.7</v>
      </c>
      <c r="R12" s="3">
        <v>25.1</v>
      </c>
      <c r="S12" s="6">
        <v>0.64100000000000001</v>
      </c>
      <c r="T12" s="6">
        <v>0</v>
      </c>
      <c r="U12" s="6">
        <v>0</v>
      </c>
      <c r="V12" s="6">
        <v>0.251</v>
      </c>
      <c r="W12" s="6">
        <v>0.66100000000000003</v>
      </c>
      <c r="X12" s="6">
        <v>0.108</v>
      </c>
      <c r="Y12" s="6">
        <v>0.19500000000000001</v>
      </c>
      <c r="Z12" s="6">
        <v>0.128</v>
      </c>
      <c r="AA12" s="6">
        <v>0.13100000000000001</v>
      </c>
      <c r="AB12" s="6">
        <v>0.30199999999999999</v>
      </c>
      <c r="AC12" s="6">
        <v>0.218</v>
      </c>
      <c r="AD12" s="6">
        <v>0.01</v>
      </c>
      <c r="AE12" s="6">
        <v>3.4000000000000002E-2</v>
      </c>
      <c r="AF12" s="7">
        <v>7</v>
      </c>
      <c r="AG12" s="7">
        <v>4.7</v>
      </c>
      <c r="AH12" s="7">
        <v>11.7</v>
      </c>
      <c r="AI12" s="7">
        <v>3.1</v>
      </c>
      <c r="AJ12" s="7">
        <v>3.4</v>
      </c>
    </row>
    <row r="13" spans="1:36" x14ac:dyDescent="0.2">
      <c r="A13" s="3" t="s">
        <v>110</v>
      </c>
      <c r="B13" s="3" t="s">
        <v>89</v>
      </c>
      <c r="C13" s="3" t="s">
        <v>111</v>
      </c>
      <c r="D13" s="3" t="s">
        <v>104</v>
      </c>
      <c r="E13" s="3">
        <v>25</v>
      </c>
      <c r="F13" s="3">
        <v>67</v>
      </c>
      <c r="G13" s="3">
        <v>33.6</v>
      </c>
      <c r="H13" s="4">
        <v>15293104</v>
      </c>
      <c r="I13" t="s">
        <v>41</v>
      </c>
      <c r="J13" s="3" t="s">
        <v>121</v>
      </c>
      <c r="K13" s="5">
        <f>H13/'Salary Cap'!B36</f>
        <v>0.15012520001177984</v>
      </c>
      <c r="L13" s="10">
        <f>AH13/(H13/1000000)</f>
        <v>0.70620065096006679</v>
      </c>
      <c r="M13" s="10">
        <f>AJ13/(H13/1000000)</f>
        <v>0.18308905765631359</v>
      </c>
      <c r="N13" s="10">
        <f>AI13/(H13/1000000)</f>
        <v>0.19616684748890742</v>
      </c>
      <c r="O13" s="3">
        <v>16.600000000000001</v>
      </c>
      <c r="P13" s="3">
        <v>12.7</v>
      </c>
      <c r="Q13" s="3">
        <v>1.4</v>
      </c>
      <c r="R13" s="3">
        <v>24.3</v>
      </c>
      <c r="S13" s="6">
        <v>0.65800000000000003</v>
      </c>
      <c r="T13" s="6">
        <v>0</v>
      </c>
      <c r="U13" s="6">
        <v>0</v>
      </c>
      <c r="V13" s="6">
        <v>0.35699999999999998</v>
      </c>
      <c r="W13" s="6">
        <v>0.63600000000000001</v>
      </c>
      <c r="X13" s="6">
        <v>0.1</v>
      </c>
      <c r="Y13" s="6">
        <v>0.182</v>
      </c>
      <c r="Z13" s="6">
        <v>7.0999999999999994E-2</v>
      </c>
      <c r="AA13" s="6">
        <v>0.14399999999999999</v>
      </c>
      <c r="AB13" s="6">
        <v>0.27600000000000002</v>
      </c>
      <c r="AC13" s="6">
        <v>0.20799999999999999</v>
      </c>
      <c r="AD13" s="6">
        <v>0.01</v>
      </c>
      <c r="AE13" s="6">
        <v>3.9E-2</v>
      </c>
      <c r="AF13" s="7">
        <v>7.8</v>
      </c>
      <c r="AG13" s="7">
        <v>3</v>
      </c>
      <c r="AH13" s="7">
        <v>10.8</v>
      </c>
      <c r="AI13" s="7">
        <v>3</v>
      </c>
      <c r="AJ13" s="7">
        <v>2.8</v>
      </c>
    </row>
    <row r="14" spans="1:36" x14ac:dyDescent="0.2">
      <c r="A14" s="3" t="s">
        <v>108</v>
      </c>
      <c r="B14" s="3" t="s">
        <v>92</v>
      </c>
      <c r="C14" s="3" t="s">
        <v>109</v>
      </c>
      <c r="D14" s="3" t="s">
        <v>104</v>
      </c>
      <c r="E14" s="3">
        <v>24</v>
      </c>
      <c r="F14" s="3">
        <v>56</v>
      </c>
      <c r="G14" s="3">
        <v>32.299999999999997</v>
      </c>
      <c r="H14" s="4">
        <v>20000000</v>
      </c>
      <c r="I14" t="s">
        <v>41</v>
      </c>
      <c r="J14" s="3" t="s">
        <v>121</v>
      </c>
      <c r="K14" s="5">
        <f>H14/'Salary Cap'!B39</f>
        <v>0.17791378298076752</v>
      </c>
      <c r="L14" s="10">
        <f>AH14/(H14/1000000)</f>
        <v>0.42499999999999999</v>
      </c>
      <c r="M14" s="10">
        <f>AJ14/(H14/1000000)</f>
        <v>0.13500000000000001</v>
      </c>
      <c r="N14" s="10">
        <f>AI14/(H14/1000000)</f>
        <v>0.19500000000000001</v>
      </c>
      <c r="O14" s="3">
        <v>16.100000000000001</v>
      </c>
      <c r="P14" s="3">
        <v>10.8</v>
      </c>
      <c r="Q14" s="3">
        <v>1.6</v>
      </c>
      <c r="R14" s="3">
        <v>25</v>
      </c>
      <c r="S14" s="6">
        <v>0.69799999999999995</v>
      </c>
      <c r="T14" s="6">
        <v>0.1</v>
      </c>
      <c r="U14" s="6">
        <v>1.7999999999999999E-2</v>
      </c>
      <c r="V14" s="6">
        <v>0.45800000000000002</v>
      </c>
      <c r="W14" s="6">
        <v>0.70799999999999996</v>
      </c>
      <c r="X14" s="6">
        <v>0.127</v>
      </c>
      <c r="Y14" s="6">
        <v>0.18099999999999999</v>
      </c>
      <c r="Z14" s="6">
        <v>8.2000000000000003E-2</v>
      </c>
      <c r="AA14" s="6">
        <v>0.12</v>
      </c>
      <c r="AB14" s="6">
        <v>0.245</v>
      </c>
      <c r="AC14" s="6">
        <v>0.184</v>
      </c>
      <c r="AD14" s="6">
        <v>1.2E-2</v>
      </c>
      <c r="AE14" s="6">
        <v>3.6999999999999998E-2</v>
      </c>
      <c r="AF14" s="7">
        <v>5.4</v>
      </c>
      <c r="AG14" s="7">
        <v>3</v>
      </c>
      <c r="AH14" s="7">
        <v>8.5</v>
      </c>
      <c r="AI14" s="7">
        <v>3.9</v>
      </c>
      <c r="AJ14" s="7">
        <v>2.7</v>
      </c>
    </row>
    <row r="15" spans="1:36" x14ac:dyDescent="0.2">
      <c r="A15" s="3" t="s">
        <v>100</v>
      </c>
      <c r="B15" s="3" t="s">
        <v>92</v>
      </c>
      <c r="C15" s="3" t="s">
        <v>101</v>
      </c>
      <c r="D15" s="3" t="s">
        <v>36</v>
      </c>
      <c r="E15" s="3">
        <v>34</v>
      </c>
      <c r="F15" s="3">
        <v>64</v>
      </c>
      <c r="G15" s="3">
        <v>34.5</v>
      </c>
      <c r="H15" s="4">
        <v>45780966</v>
      </c>
      <c r="I15" s="3" t="s">
        <v>43</v>
      </c>
      <c r="J15" s="3" t="s">
        <v>43</v>
      </c>
      <c r="K15" s="5">
        <f>H15/'Salary Cap'!B39</f>
        <v>0.40725324247869482</v>
      </c>
      <c r="L15" s="10">
        <f>AH15/(H15/1000000)</f>
        <v>0.19658825023482468</v>
      </c>
      <c r="M15" s="10">
        <f>AJ15/(H15/1000000)</f>
        <v>0.12669020570688699</v>
      </c>
      <c r="N15" s="10">
        <f>AI15/(H15/1000000)</f>
        <v>0.19003530856033049</v>
      </c>
      <c r="O15" s="3">
        <v>25.5</v>
      </c>
      <c r="P15" s="3">
        <v>5.2</v>
      </c>
      <c r="Q15" s="3">
        <v>6.3</v>
      </c>
      <c r="R15" s="3">
        <v>35.9</v>
      </c>
      <c r="S15" s="6">
        <v>0.65500000000000003</v>
      </c>
      <c r="T15" s="6">
        <v>0.38</v>
      </c>
      <c r="U15" s="6">
        <v>0.58699999999999997</v>
      </c>
      <c r="V15" s="6">
        <v>0.28899999999999998</v>
      </c>
      <c r="W15" s="6">
        <v>0.92300000000000004</v>
      </c>
      <c r="X15" s="6">
        <v>0.122</v>
      </c>
      <c r="Y15" s="6">
        <v>0.34799999999999998</v>
      </c>
      <c r="Z15" s="6">
        <v>0.30499999999999999</v>
      </c>
      <c r="AA15" s="6">
        <v>1.4999999999999999E-2</v>
      </c>
      <c r="AB15" s="6">
        <v>0.154</v>
      </c>
      <c r="AC15" s="6">
        <v>8.5000000000000006E-2</v>
      </c>
      <c r="AD15" s="6">
        <v>1.7000000000000001E-2</v>
      </c>
      <c r="AE15" s="6">
        <v>3.0000000000000001E-3</v>
      </c>
      <c r="AF15" s="7">
        <v>6.5</v>
      </c>
      <c r="AG15" s="7">
        <v>2.5</v>
      </c>
      <c r="AH15" s="7">
        <v>9</v>
      </c>
      <c r="AI15" s="7">
        <v>8.6999999999999993</v>
      </c>
      <c r="AJ15" s="7">
        <v>5.8</v>
      </c>
    </row>
    <row r="16" spans="1:36" x14ac:dyDescent="0.2">
      <c r="A16" s="3" t="s">
        <v>135</v>
      </c>
      <c r="B16" s="3" t="s">
        <v>34</v>
      </c>
      <c r="C16" s="3" t="s">
        <v>136</v>
      </c>
      <c r="D16" s="3" t="s">
        <v>138</v>
      </c>
      <c r="E16" s="3">
        <v>24</v>
      </c>
      <c r="F16" s="3">
        <v>27</v>
      </c>
      <c r="G16" s="3">
        <v>35.1</v>
      </c>
      <c r="H16" s="4">
        <v>30000000</v>
      </c>
      <c r="I16" t="s">
        <v>41</v>
      </c>
      <c r="K16" s="5">
        <f>H16/'Salary Cap'!B43</f>
        <v>0.1939901840966847</v>
      </c>
      <c r="L16" s="9">
        <f>AH16/(H16/1000000)</f>
        <v>0.12000000000000001</v>
      </c>
      <c r="M16" s="9">
        <f>AJ16/(H16/1000000)</f>
        <v>6.0000000000000005E-2</v>
      </c>
      <c r="N16" s="9">
        <f>AI16/(H16/1000000)</f>
        <v>0.18000000000000002</v>
      </c>
      <c r="O16" s="3">
        <v>23.8</v>
      </c>
      <c r="P16" s="3">
        <v>10.5</v>
      </c>
      <c r="Q16" s="3">
        <v>8.1999999999999993</v>
      </c>
      <c r="R16" s="3">
        <v>31.9</v>
      </c>
      <c r="S16" s="6">
        <v>0.626</v>
      </c>
      <c r="T16" s="6">
        <v>0.39300000000000002</v>
      </c>
      <c r="U16" s="6">
        <v>0.253</v>
      </c>
      <c r="V16" s="6">
        <v>0.36399999999999999</v>
      </c>
      <c r="W16" s="6">
        <v>0.83199999999999996</v>
      </c>
      <c r="X16" s="6">
        <v>0.154</v>
      </c>
      <c r="Y16" s="6">
        <v>0.26700000000000002</v>
      </c>
      <c r="Z16" s="6">
        <v>0.35499999999999998</v>
      </c>
      <c r="AA16" s="6">
        <v>0.05</v>
      </c>
      <c r="AB16" s="6">
        <v>0.28100000000000003</v>
      </c>
      <c r="AC16" s="6">
        <v>0.16600000000000001</v>
      </c>
      <c r="AD16" s="6">
        <v>0.02</v>
      </c>
      <c r="AE16" s="6">
        <v>0.01</v>
      </c>
      <c r="AF16" s="7">
        <v>2.2999999999999998</v>
      </c>
      <c r="AG16" s="7">
        <v>1.3</v>
      </c>
      <c r="AH16" s="7">
        <v>3.6</v>
      </c>
      <c r="AI16" s="7">
        <v>5.4</v>
      </c>
      <c r="AJ16" s="7">
        <v>1.8</v>
      </c>
    </row>
    <row r="17" spans="1:36" x14ac:dyDescent="0.2">
      <c r="A17" s="3" t="s">
        <v>141</v>
      </c>
      <c r="B17" s="3" t="s">
        <v>34</v>
      </c>
      <c r="C17" s="3" t="s">
        <v>142</v>
      </c>
      <c r="D17" s="3" t="s">
        <v>36</v>
      </c>
      <c r="E17" s="3">
        <v>26</v>
      </c>
      <c r="F17" s="3">
        <v>21</v>
      </c>
      <c r="G17" s="3">
        <v>36.6</v>
      </c>
      <c r="H17" s="4">
        <v>45999660</v>
      </c>
      <c r="I17" t="s">
        <v>42</v>
      </c>
      <c r="K17" s="5">
        <f>H17/'Salary Cap'!B43</f>
        <v>0.29744941705949679</v>
      </c>
      <c r="L17" s="9">
        <f>AH17/(H17/1000000)</f>
        <v>7.1739660684448536E-2</v>
      </c>
      <c r="M17" s="9">
        <f>AJ17/(H17/1000000)</f>
        <v>4.3478582232999115E-2</v>
      </c>
      <c r="N17" s="9">
        <f>AI17/(H17/1000000)</f>
        <v>0.17391432893199646</v>
      </c>
      <c r="O17" s="3">
        <v>34.1</v>
      </c>
      <c r="P17" s="3">
        <v>8.6</v>
      </c>
      <c r="Q17" s="3">
        <v>8.8000000000000007</v>
      </c>
      <c r="R17" s="3">
        <v>45.1</v>
      </c>
      <c r="S17" s="6">
        <v>0.60499999999999998</v>
      </c>
      <c r="T17" s="6">
        <v>0.32</v>
      </c>
      <c r="U17" s="6">
        <v>0.46300000000000002</v>
      </c>
      <c r="V17" s="6">
        <v>0.52900000000000003</v>
      </c>
      <c r="W17" s="6">
        <v>0.80700000000000005</v>
      </c>
      <c r="X17" s="6">
        <v>0.129</v>
      </c>
      <c r="Y17" s="6">
        <v>0.38100000000000001</v>
      </c>
      <c r="Z17" s="6">
        <v>0.41</v>
      </c>
      <c r="AA17" s="6">
        <v>2.8000000000000001E-2</v>
      </c>
      <c r="AB17" s="6">
        <v>0.24</v>
      </c>
      <c r="AC17" s="6">
        <v>0.13800000000000001</v>
      </c>
      <c r="AD17" s="6">
        <v>2.1000000000000001E-2</v>
      </c>
      <c r="AE17" s="6">
        <v>1.4E-2</v>
      </c>
      <c r="AF17" s="7">
        <v>2.4</v>
      </c>
      <c r="AG17" s="7">
        <v>0.9</v>
      </c>
      <c r="AH17" s="7">
        <v>3.3</v>
      </c>
      <c r="AI17" s="7">
        <v>8</v>
      </c>
      <c r="AJ17" s="7">
        <v>2</v>
      </c>
    </row>
    <row r="18" spans="1:36" x14ac:dyDescent="0.2">
      <c r="A18" s="3" t="s">
        <v>130</v>
      </c>
      <c r="B18" s="3" t="s">
        <v>34</v>
      </c>
      <c r="C18" s="3" t="s">
        <v>35</v>
      </c>
      <c r="D18" s="3" t="s">
        <v>138</v>
      </c>
      <c r="E18" s="3">
        <v>23</v>
      </c>
      <c r="F18" s="3">
        <v>24</v>
      </c>
      <c r="G18" s="3">
        <v>26.6</v>
      </c>
      <c r="H18" s="4">
        <v>8775000</v>
      </c>
      <c r="I18" t="s">
        <v>39</v>
      </c>
      <c r="K18" s="5">
        <f>H18/'Salary Cap'!B43</f>
        <v>5.6742128848280275E-2</v>
      </c>
      <c r="L18" s="9">
        <f>AH18/(H18/1000000)</f>
        <v>0.18233618233618235</v>
      </c>
      <c r="M18" s="9">
        <f>AJ18/(H18/1000000)</f>
        <v>6.8376068376068369E-2</v>
      </c>
      <c r="N18" s="9">
        <f>AI18/(H18/1000000)</f>
        <v>0.17094017094017094</v>
      </c>
      <c r="O18" s="3">
        <v>11.5</v>
      </c>
      <c r="P18" s="3">
        <v>5.7</v>
      </c>
      <c r="Q18" s="3">
        <v>2.8</v>
      </c>
      <c r="R18" s="3">
        <v>20.7</v>
      </c>
      <c r="S18" s="6">
        <v>0.54300000000000004</v>
      </c>
      <c r="T18" s="6">
        <v>0.313</v>
      </c>
      <c r="U18" s="6">
        <v>7.2999999999999995E-2</v>
      </c>
      <c r="V18" s="6">
        <v>0.374</v>
      </c>
      <c r="W18" s="6">
        <v>0.53700000000000003</v>
      </c>
      <c r="X18" s="6">
        <v>0.127</v>
      </c>
      <c r="Y18" s="6">
        <v>0.186</v>
      </c>
      <c r="Z18" s="6">
        <v>0.14599999999999999</v>
      </c>
      <c r="AA18" s="6">
        <v>8.3000000000000004E-2</v>
      </c>
      <c r="AB18" s="6">
        <v>0.15</v>
      </c>
      <c r="AC18" s="6">
        <v>0.11700000000000001</v>
      </c>
      <c r="AD18" s="6">
        <v>2.7E-2</v>
      </c>
      <c r="AE18" s="6">
        <v>2.9000000000000001E-2</v>
      </c>
      <c r="AF18" s="7">
        <v>0.5</v>
      </c>
      <c r="AG18" s="7">
        <v>1.1000000000000001</v>
      </c>
      <c r="AH18" s="7">
        <v>1.6</v>
      </c>
      <c r="AI18" s="7">
        <v>1.5</v>
      </c>
      <c r="AJ18" s="7">
        <v>0.6</v>
      </c>
    </row>
    <row r="19" spans="1:36" x14ac:dyDescent="0.2">
      <c r="A19" s="3" t="s">
        <v>33</v>
      </c>
      <c r="B19" s="3" t="s">
        <v>34</v>
      </c>
      <c r="C19" s="3" t="s">
        <v>35</v>
      </c>
      <c r="D19" s="3" t="s">
        <v>36</v>
      </c>
      <c r="E19" s="3">
        <v>24</v>
      </c>
      <c r="F19" s="3">
        <v>25</v>
      </c>
      <c r="G19" s="3">
        <v>36.200000000000003</v>
      </c>
      <c r="H19" s="8">
        <v>46394100</v>
      </c>
      <c r="I19" s="3" t="s">
        <v>43</v>
      </c>
      <c r="J19" s="3" t="s">
        <v>43</v>
      </c>
      <c r="K19" s="5">
        <f>H19/'Salary Cap'!B43</f>
        <v>0.3</v>
      </c>
      <c r="L19" s="10">
        <f>AH19/(H19/1000000)</f>
        <v>7.1129734168784389E-2</v>
      </c>
      <c r="M19" s="10">
        <f>AJ19/(H19/1000000)</f>
        <v>4.0953483309300098E-2</v>
      </c>
      <c r="N19" s="10">
        <f>AI19/(H19/1000000)</f>
        <v>0.13363768237771614</v>
      </c>
      <c r="O19" s="3">
        <v>27</v>
      </c>
      <c r="P19" s="3">
        <v>6.4</v>
      </c>
      <c r="Q19" s="3">
        <v>9.1999999999999993</v>
      </c>
      <c r="R19" s="3">
        <v>35.6</v>
      </c>
      <c r="S19" s="6">
        <v>0.56000000000000005</v>
      </c>
      <c r="T19" s="6">
        <v>0.317</v>
      </c>
      <c r="U19" s="6">
        <v>0.308</v>
      </c>
      <c r="V19" s="6">
        <v>0.34599999999999997</v>
      </c>
      <c r="W19" s="6">
        <v>0.82899999999999996</v>
      </c>
      <c r="X19" s="6">
        <v>0.13200000000000001</v>
      </c>
      <c r="Y19" s="6">
        <v>0.313</v>
      </c>
      <c r="Z19" s="6">
        <v>0.40100000000000002</v>
      </c>
      <c r="AA19" s="6">
        <v>0.04</v>
      </c>
      <c r="AB19" s="6">
        <v>0.15</v>
      </c>
      <c r="AC19" s="6">
        <v>9.6000000000000002E-2</v>
      </c>
      <c r="AD19" s="6">
        <v>1.9E-2</v>
      </c>
      <c r="AE19" s="6">
        <v>2.1999999999999999E-2</v>
      </c>
      <c r="AF19" s="7">
        <v>1.9</v>
      </c>
      <c r="AG19" s="7">
        <v>1.4</v>
      </c>
      <c r="AH19" s="7">
        <v>3.3</v>
      </c>
      <c r="AI19" s="7">
        <v>6.2</v>
      </c>
      <c r="AJ19" s="7">
        <v>1.9</v>
      </c>
    </row>
    <row r="20" spans="1:36" x14ac:dyDescent="0.2">
      <c r="A20" s="3" t="s">
        <v>132</v>
      </c>
      <c r="B20" s="3" t="s">
        <v>34</v>
      </c>
      <c r="C20" s="3" t="s">
        <v>111</v>
      </c>
      <c r="D20" s="3" t="s">
        <v>138</v>
      </c>
      <c r="E20" s="3">
        <v>23</v>
      </c>
      <c r="F20" s="3">
        <v>26</v>
      </c>
      <c r="G20" s="3">
        <v>26</v>
      </c>
      <c r="H20" s="4">
        <v>9690600</v>
      </c>
      <c r="I20" t="s">
        <v>39</v>
      </c>
      <c r="K20" s="5">
        <f>H20/'Salary Cap'!B43</f>
        <v>6.2662709266911087E-2</v>
      </c>
      <c r="L20" s="9">
        <f>AH20/(H20/1000000)</f>
        <v>0.2889397973293707</v>
      </c>
      <c r="M20" s="9">
        <f>AJ20/(H20/1000000)</f>
        <v>7.2234949332342674E-2</v>
      </c>
      <c r="N20" s="9">
        <f>AI20/(H20/1000000)</f>
        <v>0.11351206323653851</v>
      </c>
      <c r="O20" s="3">
        <v>17.5</v>
      </c>
      <c r="P20" s="3">
        <v>7.2</v>
      </c>
      <c r="Q20" s="3">
        <v>5.3</v>
      </c>
      <c r="R20" s="3">
        <v>23.5</v>
      </c>
      <c r="S20" s="6">
        <v>0.55800000000000005</v>
      </c>
      <c r="T20" s="6">
        <v>0.192</v>
      </c>
      <c r="U20" s="6">
        <v>0.14399999999999999</v>
      </c>
      <c r="V20" s="6">
        <v>0.29899999999999999</v>
      </c>
      <c r="W20" s="6">
        <v>0.79600000000000004</v>
      </c>
      <c r="X20" s="6">
        <v>0.14099999999999999</v>
      </c>
      <c r="Y20" s="6">
        <v>0.20399999999999999</v>
      </c>
      <c r="Z20" s="6">
        <v>0.20200000000000001</v>
      </c>
      <c r="AA20" s="6">
        <v>8.2000000000000003E-2</v>
      </c>
      <c r="AB20" s="6">
        <v>0.13600000000000001</v>
      </c>
      <c r="AC20" s="6">
        <v>0.11</v>
      </c>
      <c r="AD20" s="6">
        <v>1.9E-2</v>
      </c>
      <c r="AE20" s="6">
        <v>1.4E-2</v>
      </c>
      <c r="AF20" s="7">
        <v>1.6</v>
      </c>
      <c r="AG20" s="7">
        <v>1.1000000000000001</v>
      </c>
      <c r="AH20" s="7">
        <v>2.8</v>
      </c>
      <c r="AI20" s="7">
        <v>1.1000000000000001</v>
      </c>
      <c r="AJ20" s="7">
        <v>0.7</v>
      </c>
    </row>
    <row r="21" spans="1:36" x14ac:dyDescent="0.2">
      <c r="A21" s="3" t="s">
        <v>122</v>
      </c>
      <c r="B21" s="3" t="s">
        <v>34</v>
      </c>
      <c r="C21" s="3" t="s">
        <v>123</v>
      </c>
      <c r="D21" s="3" t="s">
        <v>36</v>
      </c>
      <c r="E21" s="3">
        <v>29</v>
      </c>
      <c r="F21" s="3">
        <v>25</v>
      </c>
      <c r="G21" s="3">
        <v>25</v>
      </c>
      <c r="H21" s="4">
        <v>34944001</v>
      </c>
      <c r="I21" t="s">
        <v>41</v>
      </c>
      <c r="J21" s="3" t="s">
        <v>121</v>
      </c>
      <c r="K21" s="5">
        <f>H21/'Salary Cap'!B43</f>
        <v>0.22595977290215782</v>
      </c>
      <c r="L21" s="9">
        <f>AH21/(H21/1000000)</f>
        <v>0.10016025354394879</v>
      </c>
      <c r="M21" s="9">
        <f>AJ21/(H21/1000000)</f>
        <v>3.4340658357925297E-2</v>
      </c>
      <c r="N21" s="9">
        <f>AI21/(H21/1000000)</f>
        <v>0.1030219750737759</v>
      </c>
      <c r="O21" s="3">
        <v>28.4</v>
      </c>
      <c r="P21" s="3">
        <v>3.4</v>
      </c>
      <c r="Q21" s="3">
        <v>6.5</v>
      </c>
      <c r="R21" s="3">
        <v>39.5</v>
      </c>
      <c r="S21" s="6">
        <v>0.59099999999999997</v>
      </c>
      <c r="T21" s="6">
        <v>0.36799999999999999</v>
      </c>
      <c r="U21" s="6">
        <v>0.35</v>
      </c>
      <c r="V21" s="6">
        <v>0.313</v>
      </c>
      <c r="W21" s="6">
        <v>0.83599999999999997</v>
      </c>
      <c r="X21" s="6">
        <v>8.5000000000000006E-2</v>
      </c>
      <c r="Y21" s="6">
        <v>0.314</v>
      </c>
      <c r="Z21" s="6">
        <v>0.30099999999999999</v>
      </c>
      <c r="AA21" s="6">
        <v>2.1000000000000001E-2</v>
      </c>
      <c r="AB21" s="6">
        <v>8.6999999999999994E-2</v>
      </c>
      <c r="AC21" s="6">
        <v>5.2999999999999999E-2</v>
      </c>
      <c r="AD21" s="6">
        <v>1.0999999999999999E-2</v>
      </c>
      <c r="AE21" s="6">
        <v>2E-3</v>
      </c>
      <c r="AF21" s="7">
        <v>2.8</v>
      </c>
      <c r="AG21" s="7">
        <v>0.6</v>
      </c>
      <c r="AH21" s="7">
        <v>3.5</v>
      </c>
      <c r="AI21" s="7">
        <v>3.6</v>
      </c>
      <c r="AJ21" s="7">
        <v>1.2</v>
      </c>
    </row>
    <row r="22" spans="1:36" x14ac:dyDescent="0.2">
      <c r="A22" s="3" t="s">
        <v>134</v>
      </c>
      <c r="B22" s="3" t="s">
        <v>34</v>
      </c>
      <c r="C22" s="3" t="s">
        <v>139</v>
      </c>
      <c r="D22" s="3" t="s">
        <v>137</v>
      </c>
      <c r="E22" s="3">
        <v>24</v>
      </c>
      <c r="F22" s="3">
        <v>30</v>
      </c>
      <c r="G22" s="3">
        <v>33.9</v>
      </c>
      <c r="H22" s="4">
        <v>38661850</v>
      </c>
      <c r="I22" t="s">
        <v>42</v>
      </c>
      <c r="K22" s="5">
        <f>H22/'Salary Cap'!B43</f>
        <v>0.250000646633947</v>
      </c>
      <c r="L22" s="9">
        <f>AH22/(H22/1000000)</f>
        <v>7.2422814738560104E-2</v>
      </c>
      <c r="M22" s="9">
        <f>AJ22/(H22/1000000)</f>
        <v>3.6211407369280052E-2</v>
      </c>
      <c r="N22" s="9">
        <f>AI22/(H22/1000000)</f>
        <v>9.3115047521005842E-2</v>
      </c>
      <c r="O22" s="3">
        <v>19.100000000000001</v>
      </c>
      <c r="P22" s="3">
        <v>8</v>
      </c>
      <c r="Q22" s="3">
        <v>5.0999999999999996</v>
      </c>
      <c r="R22" s="3">
        <v>27.3</v>
      </c>
      <c r="S22" s="6">
        <v>0.57899999999999996</v>
      </c>
      <c r="T22" s="6">
        <v>0.36699999999999999</v>
      </c>
      <c r="U22" s="6">
        <v>0.24299999999999999</v>
      </c>
      <c r="V22" s="6">
        <v>0.23400000000000001</v>
      </c>
      <c r="W22" s="6">
        <v>0.81899999999999995</v>
      </c>
      <c r="X22" s="6">
        <v>0.13800000000000001</v>
      </c>
      <c r="Y22" s="6">
        <v>0.24</v>
      </c>
      <c r="Z22" s="6">
        <v>0.22700000000000001</v>
      </c>
      <c r="AA22" s="6">
        <v>7.1999999999999995E-2</v>
      </c>
      <c r="AB22" s="6">
        <v>0.192</v>
      </c>
      <c r="AC22" s="6">
        <v>0.13200000000000001</v>
      </c>
      <c r="AD22" s="6">
        <v>0.02</v>
      </c>
      <c r="AE22" s="6">
        <v>4.9000000000000002E-2</v>
      </c>
      <c r="AF22" s="7">
        <v>1.1000000000000001</v>
      </c>
      <c r="AG22" s="7">
        <v>1.7</v>
      </c>
      <c r="AH22" s="7">
        <v>2.8</v>
      </c>
      <c r="AI22" s="7">
        <v>3.6</v>
      </c>
      <c r="AJ22" s="7">
        <v>1.4</v>
      </c>
    </row>
    <row r="23" spans="1:36" x14ac:dyDescent="0.2">
      <c r="A23" s="3" t="s">
        <v>129</v>
      </c>
      <c r="B23" s="3" t="s">
        <v>34</v>
      </c>
      <c r="C23" s="3" t="s">
        <v>109</v>
      </c>
      <c r="D23" s="3" t="s">
        <v>137</v>
      </c>
      <c r="E23" s="3">
        <v>24</v>
      </c>
      <c r="F23" s="3">
        <v>25</v>
      </c>
      <c r="G23" s="3">
        <v>34.200000000000003</v>
      </c>
      <c r="H23" s="4">
        <v>46394100</v>
      </c>
      <c r="I23" t="s">
        <v>43</v>
      </c>
      <c r="K23" s="5">
        <f>'Player Data'!H19/'Salary Cap'!B43</f>
        <v>0.3</v>
      </c>
      <c r="L23" s="9">
        <f>AH23/(H23/1000000)</f>
        <v>5.1730715759115919E-2</v>
      </c>
      <c r="M23" s="9">
        <f>AJ23/(H23/1000000)</f>
        <v>2.1554464899631632E-2</v>
      </c>
      <c r="N23" s="9">
        <f>AI23/(H23/1000000)</f>
        <v>5.1730715759115919E-2</v>
      </c>
      <c r="O23" s="3">
        <v>19.100000000000001</v>
      </c>
      <c r="P23" s="3">
        <v>9.3000000000000007</v>
      </c>
      <c r="Q23" s="3">
        <v>4.0999999999999996</v>
      </c>
      <c r="R23" s="3">
        <v>26.5</v>
      </c>
      <c r="S23" s="6">
        <v>0.57599999999999996</v>
      </c>
      <c r="T23" s="6">
        <v>0.35199999999999998</v>
      </c>
      <c r="U23" s="6">
        <v>0.30599999999999999</v>
      </c>
      <c r="V23" s="6">
        <v>0.39400000000000002</v>
      </c>
      <c r="W23" s="6">
        <v>0.64</v>
      </c>
      <c r="X23" s="6">
        <v>0.11899999999999999</v>
      </c>
      <c r="Y23" s="6">
        <v>0.22700000000000001</v>
      </c>
      <c r="Z23" s="6">
        <v>0.18</v>
      </c>
      <c r="AA23" s="6">
        <v>7.8E-2</v>
      </c>
      <c r="AB23" s="6">
        <v>0.219</v>
      </c>
      <c r="AC23" s="6">
        <v>0.14599999999999999</v>
      </c>
      <c r="AD23" s="6">
        <v>1.2999999999999999E-2</v>
      </c>
      <c r="AE23" s="6">
        <v>4.3999999999999997E-2</v>
      </c>
      <c r="AF23" s="7">
        <v>1.2</v>
      </c>
      <c r="AG23" s="7">
        <v>1.2</v>
      </c>
      <c r="AH23" s="7">
        <v>2.4</v>
      </c>
      <c r="AI23" s="7">
        <v>2.4</v>
      </c>
      <c r="AJ23" s="7">
        <v>1</v>
      </c>
    </row>
    <row r="24" spans="1:36" x14ac:dyDescent="0.2">
      <c r="A24" s="3" t="s">
        <v>124</v>
      </c>
      <c r="B24" s="3" t="s">
        <v>51</v>
      </c>
      <c r="C24" s="3" t="s">
        <v>126</v>
      </c>
      <c r="D24" s="3" t="s">
        <v>36</v>
      </c>
      <c r="E24" s="3">
        <v>27</v>
      </c>
      <c r="F24" s="3">
        <v>67</v>
      </c>
      <c r="G24" s="3">
        <v>36.1</v>
      </c>
      <c r="H24" s="4">
        <v>36016200</v>
      </c>
      <c r="I24" s="3" t="s">
        <v>43</v>
      </c>
      <c r="J24" s="3" t="s">
        <v>121</v>
      </c>
      <c r="K24" s="5">
        <f>H24/'Salary Cap'!B42</f>
        <v>0.25618260448971464</v>
      </c>
      <c r="L24" s="9">
        <f>AH24/(H24/1000000)</f>
        <v>0.17214475708153554</v>
      </c>
      <c r="M24" s="9">
        <f>AJ24/(H24/1000000)</f>
        <v>4.7200981780421036E-2</v>
      </c>
      <c r="N24" s="9">
        <f>AI24/(H24/1000000)</f>
        <v>2.2212226720198135E-2</v>
      </c>
      <c r="O24" s="3">
        <v>21.4</v>
      </c>
      <c r="P24" s="3">
        <v>3.9</v>
      </c>
      <c r="Q24" s="3">
        <v>6</v>
      </c>
      <c r="R24" s="3">
        <v>28.6</v>
      </c>
      <c r="S24" s="6">
        <v>0.58399999999999996</v>
      </c>
      <c r="T24" s="6">
        <v>0.39300000000000002</v>
      </c>
      <c r="U24" s="6">
        <v>0.35399999999999998</v>
      </c>
      <c r="V24" s="6">
        <v>0.219</v>
      </c>
      <c r="W24" s="6">
        <v>0.88600000000000001</v>
      </c>
      <c r="X24" s="6">
        <v>0.10100000000000001</v>
      </c>
      <c r="Y24" s="6">
        <v>0.24</v>
      </c>
      <c r="Z24" s="6">
        <v>0.23200000000000001</v>
      </c>
      <c r="AA24" s="6">
        <v>2.1999999999999999E-2</v>
      </c>
      <c r="AB24" s="6">
        <v>9.2999999999999999E-2</v>
      </c>
      <c r="AC24" s="6">
        <v>5.8999999999999997E-2</v>
      </c>
      <c r="AD24" s="6">
        <v>1.7999999999999999E-2</v>
      </c>
      <c r="AE24" s="6">
        <v>1.2E-2</v>
      </c>
      <c r="AF24" s="7">
        <v>4.5999999999999996</v>
      </c>
      <c r="AG24" s="7">
        <v>1.6</v>
      </c>
      <c r="AH24" s="7">
        <v>6.2</v>
      </c>
      <c r="AI24" s="7">
        <v>0.8</v>
      </c>
      <c r="AJ24" s="7">
        <v>1.7</v>
      </c>
    </row>
    <row r="25" spans="1:36" x14ac:dyDescent="0.2">
      <c r="A25" s="3" t="s">
        <v>116</v>
      </c>
      <c r="B25" s="3" t="s">
        <v>51</v>
      </c>
      <c r="C25" s="3" t="s">
        <v>128</v>
      </c>
      <c r="D25" s="3" t="s">
        <v>36</v>
      </c>
      <c r="E25" s="3">
        <v>27</v>
      </c>
      <c r="F25" s="3">
        <v>62</v>
      </c>
      <c r="G25" s="3">
        <v>36.1</v>
      </c>
      <c r="H25" s="4">
        <v>34848340</v>
      </c>
      <c r="I25" t="s">
        <v>41</v>
      </c>
      <c r="J25" s="3" t="s">
        <v>121</v>
      </c>
      <c r="K25" s="5">
        <f>H25/'Salary Cap'!B42</f>
        <v>0.24787563661194412</v>
      </c>
      <c r="L25" s="9">
        <f>AH25/(H25/1000000)</f>
        <v>0.12339181722859682</v>
      </c>
      <c r="M25" s="9">
        <f>AJ25/(H25/1000000)</f>
        <v>3.730450288306416E-2</v>
      </c>
      <c r="N25" s="9">
        <f>AI25/(H25/1000000)</f>
        <v>1.1478308579404357E-2</v>
      </c>
      <c r="O25" s="3">
        <v>23.5</v>
      </c>
      <c r="P25" s="3">
        <v>4.8</v>
      </c>
      <c r="Q25" s="3">
        <v>6.3</v>
      </c>
      <c r="R25" s="3">
        <v>31.7</v>
      </c>
      <c r="S25" s="6">
        <v>0.56000000000000005</v>
      </c>
      <c r="T25" s="6">
        <v>0.31</v>
      </c>
      <c r="U25" s="6">
        <v>0.32800000000000001</v>
      </c>
      <c r="V25" s="6">
        <v>0.27300000000000002</v>
      </c>
      <c r="W25" s="6">
        <v>0.82699999999999996</v>
      </c>
      <c r="X25" s="6">
        <v>0.11799999999999999</v>
      </c>
      <c r="Y25" s="6">
        <v>0.28299999999999997</v>
      </c>
      <c r="Z25" s="6">
        <v>0.27200000000000002</v>
      </c>
      <c r="AA25" s="6">
        <v>2.7E-2</v>
      </c>
      <c r="AB25" s="6">
        <v>0.121</v>
      </c>
      <c r="AC25" s="6">
        <v>7.3999999999999996E-2</v>
      </c>
      <c r="AD25" s="6">
        <v>0.02</v>
      </c>
      <c r="AE25" s="6">
        <v>1.0999999999999999E-2</v>
      </c>
      <c r="AF25" s="7">
        <v>2.6</v>
      </c>
      <c r="AG25" s="7">
        <v>1.7</v>
      </c>
      <c r="AH25" s="7">
        <v>4.3</v>
      </c>
      <c r="AI25" s="7">
        <v>0.4</v>
      </c>
      <c r="AJ25" s="7">
        <v>1.3</v>
      </c>
    </row>
    <row r="26" spans="1:36" x14ac:dyDescent="0.2">
      <c r="A26" s="3" t="s">
        <v>133</v>
      </c>
      <c r="B26" s="3" t="s">
        <v>34</v>
      </c>
      <c r="C26" s="3" t="s">
        <v>35</v>
      </c>
      <c r="D26" s="3" t="s">
        <v>138</v>
      </c>
      <c r="E26" s="3">
        <v>33</v>
      </c>
      <c r="F26" s="3">
        <v>18</v>
      </c>
      <c r="G26" s="3">
        <v>28.6</v>
      </c>
      <c r="H26" s="4">
        <v>26634146</v>
      </c>
      <c r="I26" t="s">
        <v>41</v>
      </c>
      <c r="K26" s="5">
        <f>H26/'Salary Cap'!B43</f>
        <v>0.17222542952659928</v>
      </c>
      <c r="L26" s="9">
        <f>AH26/(H26/1000000)</f>
        <v>4.8809524435286945E-2</v>
      </c>
      <c r="M26" s="9">
        <f>AJ26/(H26/1000000)</f>
        <v>1.1263736408143141E-2</v>
      </c>
      <c r="N26" s="9">
        <f>AI26/(H26/1000000)</f>
        <v>0</v>
      </c>
      <c r="O26" s="3">
        <v>13.6</v>
      </c>
      <c r="P26" s="3">
        <v>5</v>
      </c>
      <c r="Q26" s="3">
        <v>2.4</v>
      </c>
      <c r="R26" s="3">
        <v>22.6</v>
      </c>
      <c r="S26" s="6">
        <v>0.55800000000000005</v>
      </c>
      <c r="T26" s="6">
        <v>0.34200000000000003</v>
      </c>
      <c r="U26" s="6">
        <v>0.39200000000000002</v>
      </c>
      <c r="V26" s="6">
        <v>0.28899999999999998</v>
      </c>
      <c r="W26" s="6">
        <v>0.82099999999999995</v>
      </c>
      <c r="X26" s="6">
        <v>7.5999999999999998E-2</v>
      </c>
      <c r="Y26" s="6">
        <v>0.187</v>
      </c>
      <c r="Z26" s="6">
        <v>0.11700000000000001</v>
      </c>
      <c r="AA26" s="6">
        <v>3.5999999999999997E-2</v>
      </c>
      <c r="AB26" s="6">
        <v>0.153</v>
      </c>
      <c r="AC26" s="6">
        <v>9.5000000000000001E-2</v>
      </c>
      <c r="AD26" s="6">
        <v>8.9999999999999993E-3</v>
      </c>
      <c r="AE26" s="6">
        <v>0.01</v>
      </c>
      <c r="AF26" s="7">
        <v>0.7</v>
      </c>
      <c r="AG26" s="7">
        <v>0.6</v>
      </c>
      <c r="AH26" s="7">
        <v>1.3</v>
      </c>
      <c r="AI26" s="7">
        <v>0</v>
      </c>
      <c r="AJ26" s="7">
        <v>0.3</v>
      </c>
    </row>
    <row r="27" spans="1:36" x14ac:dyDescent="0.2">
      <c r="A27" s="3" t="s">
        <v>105</v>
      </c>
      <c r="B27" s="3" t="s">
        <v>34</v>
      </c>
      <c r="C27" s="3" t="s">
        <v>35</v>
      </c>
      <c r="D27" s="3" t="s">
        <v>106</v>
      </c>
      <c r="E27" s="3">
        <v>24</v>
      </c>
      <c r="F27" s="3">
        <v>13</v>
      </c>
      <c r="G27" s="3">
        <v>14.8</v>
      </c>
      <c r="H27" s="4">
        <v>7977240</v>
      </c>
      <c r="I27" t="s">
        <v>39</v>
      </c>
      <c r="J27" s="3" t="s">
        <v>121</v>
      </c>
      <c r="K27" s="5">
        <f>H27/'Salary Cap'!B43</f>
        <v>5.158354187278124E-2</v>
      </c>
      <c r="L27" s="10">
        <f>AH27/(H27/1000000)</f>
        <v>5.0142655855910066E-2</v>
      </c>
      <c r="M27" s="10">
        <f>AJ27/(H27/1000000)</f>
        <v>1.2535663963977517E-2</v>
      </c>
      <c r="N27" s="10">
        <f>AI27/(H27/1000000)</f>
        <v>-3.7606991891932548E-2</v>
      </c>
      <c r="O27" s="3">
        <v>7.8</v>
      </c>
      <c r="P27" s="3">
        <v>2.2999999999999998</v>
      </c>
      <c r="Q27" s="3">
        <v>1.5</v>
      </c>
      <c r="R27" s="3">
        <v>25.1</v>
      </c>
      <c r="S27" s="6">
        <v>0.56200000000000006</v>
      </c>
      <c r="T27" s="6">
        <v>0.32500000000000001</v>
      </c>
      <c r="U27" s="6">
        <v>0.48799999999999999</v>
      </c>
      <c r="V27" s="6">
        <v>0.22</v>
      </c>
      <c r="W27" s="6">
        <v>0.88900000000000001</v>
      </c>
      <c r="X27" s="6">
        <v>0.13500000000000001</v>
      </c>
      <c r="Y27" s="6">
        <v>0.22</v>
      </c>
      <c r="Z27" s="6">
        <v>0.14699999999999999</v>
      </c>
      <c r="AA27" s="6">
        <v>4.5999999999999999E-2</v>
      </c>
      <c r="AB27" s="6">
        <v>0.123</v>
      </c>
      <c r="AC27" s="6">
        <v>8.5000000000000006E-2</v>
      </c>
      <c r="AD27" s="6">
        <v>0.02</v>
      </c>
      <c r="AE27" s="6">
        <v>0.01</v>
      </c>
      <c r="AF27" s="7">
        <v>0.1</v>
      </c>
      <c r="AG27" s="7">
        <v>0.3</v>
      </c>
      <c r="AH27" s="7">
        <v>0.4</v>
      </c>
      <c r="AI27" s="7">
        <v>-0.3</v>
      </c>
      <c r="AJ27" s="7">
        <v>0.1</v>
      </c>
    </row>
    <row r="28" spans="1:36" x14ac:dyDescent="0.2">
      <c r="A28" s="3" t="s">
        <v>114</v>
      </c>
      <c r="B28" s="3" t="s">
        <v>91</v>
      </c>
      <c r="C28" s="3" t="s">
        <v>109</v>
      </c>
      <c r="D28" s="3" t="s">
        <v>106</v>
      </c>
      <c r="E28" s="3">
        <v>22</v>
      </c>
      <c r="F28" s="3">
        <v>60</v>
      </c>
      <c r="G28" s="3">
        <v>35.299999999999997</v>
      </c>
      <c r="H28" s="4">
        <v>4991880</v>
      </c>
      <c r="I28" t="s">
        <v>39</v>
      </c>
      <c r="J28" s="3" t="s">
        <v>121</v>
      </c>
      <c r="K28" s="5">
        <f>H28/'Salary Cap'!B38</f>
        <v>4.5738317757009345E-2</v>
      </c>
      <c r="L28" s="10">
        <f>AH28/(H28/1000000)</f>
        <v>0.70113864916624602</v>
      </c>
      <c r="M28" s="10">
        <f>AJ28/(H28/1000000)</f>
        <v>0.20032532833321312</v>
      </c>
      <c r="N28" s="10">
        <f>AI28/(H28/1000000)</f>
        <v>-4.0065065666642627E-2</v>
      </c>
      <c r="O28" s="3">
        <v>24.3</v>
      </c>
      <c r="P28" s="3">
        <v>3.1</v>
      </c>
      <c r="Q28" s="3">
        <v>4.4000000000000004</v>
      </c>
      <c r="R28" s="3">
        <v>34</v>
      </c>
      <c r="S28" s="6">
        <v>0.57299999999999995</v>
      </c>
      <c r="T28" s="6">
        <v>0.371</v>
      </c>
      <c r="U28" s="6">
        <v>0.23899999999999999</v>
      </c>
      <c r="V28" s="6">
        <v>0.34699999999999998</v>
      </c>
      <c r="W28" s="6">
        <v>0.81499999999999995</v>
      </c>
      <c r="X28" s="6">
        <v>0.11600000000000001</v>
      </c>
      <c r="Y28" s="6">
        <v>0.29699999999999999</v>
      </c>
      <c r="Z28" s="6">
        <v>0.22600000000000001</v>
      </c>
      <c r="AA28" s="6">
        <v>0.03</v>
      </c>
      <c r="AB28" s="6">
        <v>7.0000000000000007E-2</v>
      </c>
      <c r="AC28" s="6">
        <v>4.9000000000000002E-2</v>
      </c>
      <c r="AD28" s="6">
        <v>1.4E-2</v>
      </c>
      <c r="AE28" s="6">
        <v>4.0000000000000001E-3</v>
      </c>
      <c r="AF28" s="7">
        <v>2.6</v>
      </c>
      <c r="AG28" s="7">
        <v>0.9</v>
      </c>
      <c r="AH28" s="7">
        <v>3.5</v>
      </c>
      <c r="AI28" s="7">
        <v>-0.2</v>
      </c>
      <c r="AJ28" s="7">
        <v>1</v>
      </c>
    </row>
    <row r="32" spans="1:36" x14ac:dyDescent="0.2">
      <c r="I32"/>
      <c r="J32"/>
      <c r="K32"/>
      <c r="L32"/>
    </row>
    <row r="33" spans="9:12" x14ac:dyDescent="0.2">
      <c r="I33"/>
      <c r="J33"/>
      <c r="K33"/>
      <c r="L33"/>
    </row>
    <row r="34" spans="9:12" x14ac:dyDescent="0.2">
      <c r="I34"/>
      <c r="J34"/>
      <c r="K34"/>
      <c r="L34"/>
    </row>
    <row r="35" spans="9:12" x14ac:dyDescent="0.2">
      <c r="I35"/>
      <c r="J35"/>
      <c r="K35"/>
      <c r="L35"/>
    </row>
    <row r="36" spans="9:12" x14ac:dyDescent="0.2">
      <c r="I36"/>
      <c r="J36"/>
      <c r="K36"/>
      <c r="L36"/>
    </row>
    <row r="37" spans="9:12" x14ac:dyDescent="0.2">
      <c r="I37"/>
      <c r="J37"/>
      <c r="K37"/>
      <c r="L37"/>
    </row>
    <row r="38" spans="9:12" x14ac:dyDescent="0.2">
      <c r="I38"/>
      <c r="J38"/>
      <c r="K38"/>
      <c r="L38"/>
    </row>
  </sheetData>
  <autoFilter ref="A1:AJ13" xr:uid="{34969A5B-02ED-534C-8B00-21D2B0C07B80}"/>
  <sortState xmlns:xlrd2="http://schemas.microsoft.com/office/spreadsheetml/2017/richdata2" ref="A2:AJ28">
    <sortCondition descending="1" ref="N2:N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2138-AFA6-6748-B7A8-42ED859FE198}">
  <dimension ref="A1:D7"/>
  <sheetViews>
    <sheetView workbookViewId="0">
      <selection sqref="A1:XFD1048576"/>
    </sheetView>
  </sheetViews>
  <sheetFormatPr baseColWidth="10" defaultRowHeight="16" x14ac:dyDescent="0.2"/>
  <cols>
    <col min="1" max="1" width="16.33203125" bestFit="1" customWidth="1"/>
    <col min="2" max="3" width="15.33203125" bestFit="1" customWidth="1"/>
    <col min="4" max="4" width="33" bestFit="1" customWidth="1"/>
  </cols>
  <sheetData>
    <row r="1" spans="1:4" x14ac:dyDescent="0.2">
      <c r="A1" t="s">
        <v>107</v>
      </c>
      <c r="B1" t="s">
        <v>145</v>
      </c>
      <c r="C1" t="s">
        <v>146</v>
      </c>
      <c r="D1" t="s">
        <v>147</v>
      </c>
    </row>
    <row r="2" spans="1:4" x14ac:dyDescent="0.2">
      <c r="A2" t="s">
        <v>38</v>
      </c>
      <c r="B2">
        <v>-100</v>
      </c>
      <c r="C2">
        <v>0</v>
      </c>
      <c r="D2" t="s">
        <v>148</v>
      </c>
    </row>
    <row r="3" spans="1:4" x14ac:dyDescent="0.2">
      <c r="A3" t="s">
        <v>39</v>
      </c>
      <c r="B3">
        <v>0</v>
      </c>
      <c r="C3">
        <v>0.5</v>
      </c>
      <c r="D3" t="s">
        <v>149</v>
      </c>
    </row>
    <row r="4" spans="1:4" x14ac:dyDescent="0.2">
      <c r="A4" t="s">
        <v>40</v>
      </c>
      <c r="B4">
        <v>0.5</v>
      </c>
      <c r="C4">
        <v>2</v>
      </c>
      <c r="D4" t="s">
        <v>150</v>
      </c>
    </row>
    <row r="5" spans="1:4" x14ac:dyDescent="0.2">
      <c r="A5" t="s">
        <v>41</v>
      </c>
      <c r="B5">
        <v>2</v>
      </c>
      <c r="C5">
        <v>4</v>
      </c>
      <c r="D5" t="s">
        <v>151</v>
      </c>
    </row>
    <row r="6" spans="1:4" x14ac:dyDescent="0.2">
      <c r="A6" t="s">
        <v>42</v>
      </c>
      <c r="B6">
        <v>4</v>
      </c>
      <c r="C6">
        <v>6</v>
      </c>
      <c r="D6" t="s">
        <v>152</v>
      </c>
    </row>
    <row r="7" spans="1:4" x14ac:dyDescent="0.2">
      <c r="A7" t="s">
        <v>43</v>
      </c>
      <c r="B7">
        <v>6</v>
      </c>
      <c r="C7">
        <v>100</v>
      </c>
      <c r="D7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3CB9-2ADB-A04E-B1AE-C7866E8F339D}">
  <dimension ref="A1:D7"/>
  <sheetViews>
    <sheetView workbookViewId="0">
      <selection activeCell="D7" sqref="A1:D7"/>
    </sheetView>
  </sheetViews>
  <sheetFormatPr baseColWidth="10" defaultRowHeight="16" x14ac:dyDescent="0.2"/>
  <cols>
    <col min="1" max="1" width="16.33203125" bestFit="1" customWidth="1"/>
    <col min="2" max="3" width="13.33203125" bestFit="1" customWidth="1"/>
    <col min="4" max="4" width="28.1640625" bestFit="1" customWidth="1"/>
  </cols>
  <sheetData>
    <row r="1" spans="1:4" x14ac:dyDescent="0.2">
      <c r="A1" t="s">
        <v>11</v>
      </c>
      <c r="B1" t="s">
        <v>144</v>
      </c>
      <c r="C1" t="s">
        <v>143</v>
      </c>
      <c r="D1" t="s">
        <v>37</v>
      </c>
    </row>
    <row r="2" spans="1:4" x14ac:dyDescent="0.2">
      <c r="A2" t="s">
        <v>38</v>
      </c>
      <c r="B2">
        <v>0</v>
      </c>
      <c r="C2">
        <v>2.5</v>
      </c>
      <c r="D2" t="s">
        <v>44</v>
      </c>
    </row>
    <row r="3" spans="1:4" x14ac:dyDescent="0.2">
      <c r="A3" t="s">
        <v>39</v>
      </c>
      <c r="B3">
        <v>2.5</v>
      </c>
      <c r="C3">
        <v>7</v>
      </c>
      <c r="D3" t="s">
        <v>45</v>
      </c>
    </row>
    <row r="4" spans="1:4" x14ac:dyDescent="0.2">
      <c r="A4" t="s">
        <v>40</v>
      </c>
      <c r="B4">
        <v>7</v>
      </c>
      <c r="C4">
        <v>15</v>
      </c>
      <c r="D4" t="s">
        <v>46</v>
      </c>
    </row>
    <row r="5" spans="1:4" x14ac:dyDescent="0.2">
      <c r="A5" t="s">
        <v>41</v>
      </c>
      <c r="B5">
        <v>15</v>
      </c>
      <c r="C5">
        <v>20</v>
      </c>
      <c r="D5" t="s">
        <v>47</v>
      </c>
    </row>
    <row r="6" spans="1:4" x14ac:dyDescent="0.2">
      <c r="A6" t="s">
        <v>42</v>
      </c>
      <c r="B6">
        <v>20</v>
      </c>
      <c r="C6">
        <v>30</v>
      </c>
      <c r="D6" t="s">
        <v>48</v>
      </c>
    </row>
    <row r="7" spans="1:4" x14ac:dyDescent="0.2">
      <c r="A7" t="s">
        <v>43</v>
      </c>
      <c r="B7">
        <v>30</v>
      </c>
      <c r="C7">
        <v>100</v>
      </c>
      <c r="D7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6BD-2F76-BD48-924A-B81A826E76E9}">
  <dimension ref="A1:B43"/>
  <sheetViews>
    <sheetView topLeftCell="A11" workbookViewId="0">
      <selection activeCell="B39" sqref="B39"/>
    </sheetView>
  </sheetViews>
  <sheetFormatPr baseColWidth="10" defaultRowHeight="16" x14ac:dyDescent="0.2"/>
  <cols>
    <col min="1" max="1" width="7.83203125" bestFit="1" customWidth="1"/>
    <col min="2" max="2" width="12.83203125" bestFit="1" customWidth="1"/>
  </cols>
  <sheetData>
    <row r="1" spans="1:2" x14ac:dyDescent="0.2">
      <c r="A1" t="s">
        <v>53</v>
      </c>
      <c r="B1" t="s">
        <v>54</v>
      </c>
    </row>
    <row r="2" spans="1:2" x14ac:dyDescent="0.2">
      <c r="A2" s="1" t="s">
        <v>55</v>
      </c>
      <c r="B2" s="2">
        <v>3600000</v>
      </c>
    </row>
    <row r="3" spans="1:2" x14ac:dyDescent="0.2">
      <c r="A3" s="1" t="s">
        <v>56</v>
      </c>
      <c r="B3" s="2">
        <v>4233000</v>
      </c>
    </row>
    <row r="4" spans="1:2" x14ac:dyDescent="0.2">
      <c r="A4" s="1" t="s">
        <v>57</v>
      </c>
      <c r="B4" s="2">
        <v>4945000</v>
      </c>
    </row>
    <row r="5" spans="1:2" x14ac:dyDescent="0.2">
      <c r="A5" s="1" t="s">
        <v>58</v>
      </c>
      <c r="B5" s="2">
        <v>6164000</v>
      </c>
    </row>
    <row r="6" spans="1:2" x14ac:dyDescent="0.2">
      <c r="A6" s="1" t="s">
        <v>59</v>
      </c>
      <c r="B6" s="2">
        <v>7232000</v>
      </c>
    </row>
    <row r="7" spans="1:2" x14ac:dyDescent="0.2">
      <c r="A7" s="1" t="s">
        <v>60</v>
      </c>
      <c r="B7" s="2">
        <v>9802000</v>
      </c>
    </row>
    <row r="8" spans="1:2" x14ac:dyDescent="0.2">
      <c r="A8" s="1" t="s">
        <v>61</v>
      </c>
      <c r="B8" s="2">
        <v>11871000</v>
      </c>
    </row>
    <row r="9" spans="1:2" x14ac:dyDescent="0.2">
      <c r="A9" s="1" t="s">
        <v>62</v>
      </c>
      <c r="B9" s="2">
        <v>12500000</v>
      </c>
    </row>
    <row r="10" spans="1:2" x14ac:dyDescent="0.2">
      <c r="A10" s="1" t="s">
        <v>63</v>
      </c>
      <c r="B10" s="2">
        <v>14000000</v>
      </c>
    </row>
    <row r="11" spans="1:2" x14ac:dyDescent="0.2">
      <c r="A11" s="1" t="s">
        <v>64</v>
      </c>
      <c r="B11" s="2">
        <v>15175000</v>
      </c>
    </row>
    <row r="12" spans="1:2" x14ac:dyDescent="0.2">
      <c r="A12" s="1" t="s">
        <v>65</v>
      </c>
      <c r="B12" s="2">
        <v>15964000</v>
      </c>
    </row>
    <row r="13" spans="1:2" x14ac:dyDescent="0.2">
      <c r="A13" s="1" t="s">
        <v>66</v>
      </c>
      <c r="B13" s="2">
        <v>23000000</v>
      </c>
    </row>
    <row r="14" spans="1:2" x14ac:dyDescent="0.2">
      <c r="A14" s="1" t="s">
        <v>67</v>
      </c>
      <c r="B14" s="2">
        <v>24363000</v>
      </c>
    </row>
    <row r="15" spans="1:2" x14ac:dyDescent="0.2">
      <c r="A15" s="1" t="s">
        <v>68</v>
      </c>
      <c r="B15" s="2">
        <v>26900000</v>
      </c>
    </row>
    <row r="16" spans="1:2" x14ac:dyDescent="0.2">
      <c r="A16" s="1" t="s">
        <v>69</v>
      </c>
      <c r="B16" s="2">
        <v>30000000</v>
      </c>
    </row>
    <row r="17" spans="1:2" x14ac:dyDescent="0.2">
      <c r="A17" s="1" t="s">
        <v>70</v>
      </c>
      <c r="B17" s="2">
        <v>34000000</v>
      </c>
    </row>
    <row r="18" spans="1:2" x14ac:dyDescent="0.2">
      <c r="A18" s="1" t="s">
        <v>71</v>
      </c>
      <c r="B18" s="2">
        <v>35500000</v>
      </c>
    </row>
    <row r="19" spans="1:2" x14ac:dyDescent="0.2">
      <c r="A19" s="1" t="s">
        <v>72</v>
      </c>
      <c r="B19" s="2">
        <v>42500000</v>
      </c>
    </row>
    <row r="20" spans="1:2" x14ac:dyDescent="0.2">
      <c r="A20" s="1" t="s">
        <v>73</v>
      </c>
      <c r="B20" s="2">
        <v>40271000</v>
      </c>
    </row>
    <row r="21" spans="1:2" x14ac:dyDescent="0.2">
      <c r="A21" s="1" t="s">
        <v>74</v>
      </c>
      <c r="B21" s="2">
        <v>43840000</v>
      </c>
    </row>
    <row r="22" spans="1:2" x14ac:dyDescent="0.2">
      <c r="A22" s="1" t="s">
        <v>75</v>
      </c>
      <c r="B22" s="2">
        <v>43870000</v>
      </c>
    </row>
    <row r="23" spans="1:2" x14ac:dyDescent="0.2">
      <c r="A23" s="1" t="s">
        <v>76</v>
      </c>
      <c r="B23" s="2">
        <v>49500000</v>
      </c>
    </row>
    <row r="24" spans="1:2" x14ac:dyDescent="0.2">
      <c r="A24" s="1" t="s">
        <v>77</v>
      </c>
      <c r="B24" s="2">
        <v>53135000</v>
      </c>
    </row>
    <row r="25" spans="1:2" x14ac:dyDescent="0.2">
      <c r="A25" s="1" t="s">
        <v>78</v>
      </c>
      <c r="B25" s="2">
        <v>55630000</v>
      </c>
    </row>
    <row r="26" spans="1:2" x14ac:dyDescent="0.2">
      <c r="A26" s="1" t="s">
        <v>79</v>
      </c>
      <c r="B26" s="2">
        <v>58680000</v>
      </c>
    </row>
    <row r="27" spans="1:2" x14ac:dyDescent="0.2">
      <c r="A27" s="1" t="s">
        <v>80</v>
      </c>
      <c r="B27" s="2">
        <v>57700000</v>
      </c>
    </row>
    <row r="28" spans="1:2" x14ac:dyDescent="0.2">
      <c r="A28" s="1" t="s">
        <v>81</v>
      </c>
      <c r="B28" s="2">
        <v>58044000</v>
      </c>
    </row>
    <row r="29" spans="1:2" x14ac:dyDescent="0.2">
      <c r="A29" s="1" t="s">
        <v>82</v>
      </c>
      <c r="B29" s="2">
        <v>58044000</v>
      </c>
    </row>
    <row r="30" spans="1:2" x14ac:dyDescent="0.2">
      <c r="A30" s="1" t="s">
        <v>83</v>
      </c>
      <c r="B30" s="2">
        <v>58044000</v>
      </c>
    </row>
    <row r="31" spans="1:2" x14ac:dyDescent="0.2">
      <c r="A31" s="1" t="s">
        <v>84</v>
      </c>
      <c r="B31" s="2">
        <v>58679000</v>
      </c>
    </row>
    <row r="32" spans="1:2" x14ac:dyDescent="0.2">
      <c r="A32" s="1" t="s">
        <v>85</v>
      </c>
      <c r="B32" s="2">
        <v>63065000</v>
      </c>
    </row>
    <row r="33" spans="1:2" x14ac:dyDescent="0.2">
      <c r="A33" s="1" t="s">
        <v>86</v>
      </c>
      <c r="B33" s="2">
        <v>70000000</v>
      </c>
    </row>
    <row r="34" spans="1:2" x14ac:dyDescent="0.2">
      <c r="A34" s="1" t="s">
        <v>87</v>
      </c>
      <c r="B34" s="2">
        <v>94143000</v>
      </c>
    </row>
    <row r="35" spans="1:2" x14ac:dyDescent="0.2">
      <c r="A35" s="1" t="s">
        <v>88</v>
      </c>
      <c r="B35" s="2">
        <v>99093000</v>
      </c>
    </row>
    <row r="36" spans="1:2" x14ac:dyDescent="0.2">
      <c r="A36" s="1" t="s">
        <v>89</v>
      </c>
      <c r="B36" s="2">
        <v>101869000</v>
      </c>
    </row>
    <row r="37" spans="1:2" x14ac:dyDescent="0.2">
      <c r="A37" s="1" t="s">
        <v>90</v>
      </c>
      <c r="B37" s="2">
        <v>109140000</v>
      </c>
    </row>
    <row r="38" spans="1:2" x14ac:dyDescent="0.2">
      <c r="A38" s="1" t="s">
        <v>91</v>
      </c>
      <c r="B38" s="2">
        <v>109140000</v>
      </c>
    </row>
    <row r="39" spans="1:2" x14ac:dyDescent="0.2">
      <c r="A39" s="1" t="s">
        <v>92</v>
      </c>
      <c r="B39" s="2">
        <v>112414000</v>
      </c>
    </row>
    <row r="40" spans="1:2" x14ac:dyDescent="0.2">
      <c r="A40" s="1" t="s">
        <v>93</v>
      </c>
      <c r="B40" s="2">
        <v>123655000</v>
      </c>
    </row>
    <row r="41" spans="1:2" x14ac:dyDescent="0.2">
      <c r="A41" s="1" t="s">
        <v>94</v>
      </c>
      <c r="B41" s="2">
        <v>136021000</v>
      </c>
    </row>
    <row r="42" spans="1:2" x14ac:dyDescent="0.2">
      <c r="A42" s="1" t="s">
        <v>51</v>
      </c>
      <c r="B42" s="2">
        <v>140588000</v>
      </c>
    </row>
    <row r="43" spans="1:2" x14ac:dyDescent="0.2">
      <c r="A43" s="1" t="s">
        <v>34</v>
      </c>
      <c r="B43" s="2">
        <v>154647000</v>
      </c>
    </row>
  </sheetData>
  <hyperlinks>
    <hyperlink ref="A2" r:id="rId1" display="https://www.basketball-reference.com/leagues/NBA_1985.html" xr:uid="{52341F1B-2B4C-A146-9CAF-5C05BE98C205}"/>
    <hyperlink ref="A3" r:id="rId2" display="https://www.basketball-reference.com/leagues/NBA_1986.html" xr:uid="{F4BFF428-D494-2A4F-A673-AE1C9221A365}"/>
    <hyperlink ref="A4" r:id="rId3" display="https://www.basketball-reference.com/leagues/NBA_1987.html" xr:uid="{87CE413C-A633-CC4F-8703-8AA82E55AA0A}"/>
    <hyperlink ref="A5" r:id="rId4" display="https://www.basketball-reference.com/leagues/NBA_1988.html" xr:uid="{AEA5B160-00B9-124D-BB8E-84602F00C800}"/>
    <hyperlink ref="A6" r:id="rId5" display="https://www.basketball-reference.com/leagues/NBA_1989.html" xr:uid="{3233D62C-BE98-C240-925A-44772E496BDB}"/>
    <hyperlink ref="A7" r:id="rId6" display="https://www.basketball-reference.com/leagues/NBA_1990.html" xr:uid="{5D5E6D9C-0609-0743-9841-D84341386462}"/>
    <hyperlink ref="A8" r:id="rId7" display="https://www.basketball-reference.com/leagues/NBA_1991.html" xr:uid="{3BB7B61E-04F7-D645-AD48-A962E49BB0E5}"/>
    <hyperlink ref="A9" r:id="rId8" display="https://www.basketball-reference.com/leagues/NBA_1992.html" xr:uid="{5D01BB23-2DB4-F341-918D-9FE8739BB4E1}"/>
    <hyperlink ref="A10" r:id="rId9" display="https://www.basketball-reference.com/leagues/NBA_1993.html" xr:uid="{D9D0B512-BDE3-4F48-9165-47EA66AA6C1E}"/>
    <hyperlink ref="A11" r:id="rId10" display="https://www.basketball-reference.com/leagues/NBA_1994.html" xr:uid="{E1ABBC8C-0B96-4648-880F-623764E02430}"/>
    <hyperlink ref="A12" r:id="rId11" display="https://www.basketball-reference.com/leagues/NBA_1995.html" xr:uid="{E8C063B3-F101-A343-96D8-81E9BCDC1B09}"/>
    <hyperlink ref="A13" r:id="rId12" display="https://www.basketball-reference.com/leagues/NBA_1996.html" xr:uid="{0EE4506D-05C6-C245-BC4C-38D00F7AEC3E}"/>
    <hyperlink ref="A14" r:id="rId13" display="https://www.basketball-reference.com/leagues/NBA_1997.html" xr:uid="{D125291D-EEDF-A547-9884-BAB9F2FC3932}"/>
    <hyperlink ref="A15" r:id="rId14" display="https://www.basketball-reference.com/leagues/NBA_1998.html" xr:uid="{2DF919EE-85FA-0144-B208-60C1C1A9E605}"/>
    <hyperlink ref="A16" r:id="rId15" display="https://www.basketball-reference.com/leagues/NBA_1999.html" xr:uid="{C48B03F9-C97A-8648-8FC4-6BB5936E7BDC}"/>
    <hyperlink ref="A17" r:id="rId16" display="https://www.basketball-reference.com/leagues/NBA_2000.html" xr:uid="{0540BB54-710E-BE4A-A1E7-A218F223812D}"/>
    <hyperlink ref="A18" r:id="rId17" display="https://www.basketball-reference.com/leagues/NBA_2001.html" xr:uid="{E86A555E-DED0-5A4A-93C6-BEE3AF8BBBEF}"/>
    <hyperlink ref="A19" r:id="rId18" display="https://www.basketball-reference.com/leagues/NBA_2002.html" xr:uid="{A5940559-2492-8343-BEC0-E97DF897BB53}"/>
    <hyperlink ref="A20" r:id="rId19" display="https://www.basketball-reference.com/leagues/NBA_2003.html" xr:uid="{76F04AB2-5B7D-224F-84A7-4619C54B8ACB}"/>
    <hyperlink ref="A21" r:id="rId20" display="https://www.basketball-reference.com/leagues/NBA_2004.html" xr:uid="{6ED2AC61-F9D7-B44D-B3CE-549D37DA0D97}"/>
    <hyperlink ref="A22" r:id="rId21" display="https://www.basketball-reference.com/leagues/NBA_2005.html" xr:uid="{E7412550-F259-9146-ABCD-A8ECD9CB0F68}"/>
    <hyperlink ref="A23" r:id="rId22" display="https://www.basketball-reference.com/leagues/NBA_2006.html" xr:uid="{2BC46CAA-EA64-BF45-866F-7A1508E21251}"/>
    <hyperlink ref="A24" r:id="rId23" display="https://www.basketball-reference.com/leagues/NBA_2007.html" xr:uid="{C4C150AE-4C68-7045-9DF8-19A49FF4D44E}"/>
    <hyperlink ref="A25" r:id="rId24" display="https://www.basketball-reference.com/leagues/NBA_2008.html" xr:uid="{7489EA2F-99CE-E34B-A23E-1923200880D1}"/>
    <hyperlink ref="A26" r:id="rId25" display="https://www.basketball-reference.com/leagues/NBA_2009.html" xr:uid="{B5A133C2-D7E8-9A4E-B6FA-D262AF7A4CA8}"/>
    <hyperlink ref="A27" r:id="rId26" display="https://www.basketball-reference.com/leagues/NBA_2010.html" xr:uid="{6D9BA10F-DDF1-E34F-9A7B-E1EAC101E916}"/>
    <hyperlink ref="A28" r:id="rId27" display="https://www.basketball-reference.com/leagues/NBA_2011.html" xr:uid="{FA640BDA-9A06-7249-89A1-38DA7C869A9C}"/>
    <hyperlink ref="A29" r:id="rId28" display="https://www.basketball-reference.com/leagues/NBA_2012.html" xr:uid="{4132B0BD-7B36-3346-BA00-4589ACB8F434}"/>
    <hyperlink ref="A30" r:id="rId29" display="https://www.basketball-reference.com/leagues/NBA_2013.html" xr:uid="{E745E924-C528-CD40-A8E9-CB04ED12ED26}"/>
    <hyperlink ref="A31" r:id="rId30" display="https://www.basketball-reference.com/leagues/NBA_2014.html" xr:uid="{C7D3B51E-42E8-4849-822A-711147A32C6D}"/>
    <hyperlink ref="A32" r:id="rId31" display="https://www.basketball-reference.com/leagues/NBA_2015.html" xr:uid="{2B37768F-3BF2-1448-A614-D786EC8F22F1}"/>
    <hyperlink ref="A33" r:id="rId32" display="https://www.basketball-reference.com/leagues/NBA_2016.html" xr:uid="{8F6BD9B4-4085-D546-8479-EE4A276A2278}"/>
    <hyperlink ref="A34" r:id="rId33" display="https://www.basketball-reference.com/leagues/NBA_2017.html" xr:uid="{FAEBC139-3DB7-4046-9130-8C849EB41BBF}"/>
    <hyperlink ref="A35" r:id="rId34" display="https://www.basketball-reference.com/leagues/NBA_2018.html" xr:uid="{D8700342-5920-4B41-B83B-D6EAE4AD03A3}"/>
    <hyperlink ref="A36" r:id="rId35" display="https://www.basketball-reference.com/leagues/NBA_2019.html" xr:uid="{FA13F914-AC75-1346-9BCE-C79F91E867F2}"/>
    <hyperlink ref="A37" r:id="rId36" display="https://www.basketball-reference.com/leagues/NBA_2020.html" xr:uid="{06475941-C630-4B48-9B1B-94EFAB03A42B}"/>
    <hyperlink ref="A38" r:id="rId37" display="https://www.basketball-reference.com/leagues/NBA_2021.html" xr:uid="{64A891CF-5DB9-9145-A370-962D16DC0786}"/>
    <hyperlink ref="A39" r:id="rId38" display="https://www.basketball-reference.com/leagues/NBA_2022.html" xr:uid="{69274E97-4DB1-1840-91E5-B3D16CD428D1}"/>
    <hyperlink ref="A40" r:id="rId39" display="https://www.basketball-reference.com/leagues/NBA_2023.html" xr:uid="{1B47B596-F097-974D-ACB9-A505DD9CDBA7}"/>
    <hyperlink ref="A41" r:id="rId40" display="https://www.basketball-reference.com/leagues/NBA_2024.html" xr:uid="{0676415E-2997-7543-B699-2E1D2CB7926A}"/>
    <hyperlink ref="A42" r:id="rId41" display="https://www.basketball-reference.com/leagues/NBA_2025.html" xr:uid="{6EB94FAA-8801-3846-A31E-1FD5134C924B}"/>
    <hyperlink ref="A43" r:id="rId42" display="https://www.basketball-reference.com/leagues/NBA_2026.html" xr:uid="{D9747D62-C817-D744-900E-FDC88F3D1F0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5C83-0A0A-7647-9F09-58616F6AB5D1}">
  <dimension ref="A1:B5"/>
  <sheetViews>
    <sheetView workbookViewId="0">
      <selection activeCell="A6" sqref="A6"/>
    </sheetView>
  </sheetViews>
  <sheetFormatPr baseColWidth="10" defaultRowHeight="16" x14ac:dyDescent="0.2"/>
  <sheetData>
    <row r="1" spans="1:2" x14ac:dyDescent="0.2">
      <c r="A1" t="s">
        <v>95</v>
      </c>
      <c r="B1" t="s">
        <v>96</v>
      </c>
    </row>
    <row r="2" spans="1:2" x14ac:dyDescent="0.2">
      <c r="A2" t="s">
        <v>54</v>
      </c>
      <c r="B2" t="s">
        <v>97</v>
      </c>
    </row>
    <row r="3" spans="1:2" x14ac:dyDescent="0.2">
      <c r="A3" t="s">
        <v>33</v>
      </c>
      <c r="B3" t="s">
        <v>98</v>
      </c>
    </row>
    <row r="4" spans="1:2" x14ac:dyDescent="0.2">
      <c r="A4" t="s">
        <v>50</v>
      </c>
      <c r="B4" t="s">
        <v>99</v>
      </c>
    </row>
    <row r="5" spans="1:2" x14ac:dyDescent="0.2">
      <c r="A5" t="s">
        <v>100</v>
      </c>
      <c r="B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 Data</vt:lpstr>
      <vt:lpstr>Play Level Tier Definitions</vt:lpstr>
      <vt:lpstr>Salary Tier Definitions</vt:lpstr>
      <vt:lpstr>Salary Cap</vt:lpstr>
      <vt:lpstr>Helpful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2025-12-22T00:33:04Z</dcterms:created>
  <dcterms:modified xsi:type="dcterms:W3CDTF">2025-12-23T06:05:45Z</dcterms:modified>
</cp:coreProperties>
</file>